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dil\OneDrive\Área de Trabalho\"/>
    </mc:Choice>
  </mc:AlternateContent>
  <xr:revisionPtr revIDLastSave="0" documentId="13_ncr:1_{6B803997-F010-445F-A607-2E4005BABE8B}" xr6:coauthVersionLast="47" xr6:coauthVersionMax="47" xr10:uidLastSave="{00000000-0000-0000-0000-000000000000}"/>
  <bookViews>
    <workbookView xWindow="20370" yWindow="-120" windowWidth="29040" windowHeight="15720" activeTab="5" xr2:uid="{40525FA0-7990-4213-8EDF-CF9644C0DCCA}"/>
  </bookViews>
  <sheets>
    <sheet name="Contas_a_Pagar" sheetId="1" r:id="rId1"/>
    <sheet name="Contas_a_Receber" sheetId="7" r:id="rId2"/>
    <sheet name="Fluxo_de_Caixa" sheetId="8" r:id="rId3"/>
    <sheet name="DRE_Simplificada" sheetId="9" r:id="rId4"/>
    <sheet name="Cálculos" sheetId="3" state="hidden" r:id="rId5"/>
    <sheet name="Dashboard" sheetId="4" r:id="rId6"/>
  </sheets>
  <definedNames>
    <definedName name="SegmentaçãodeDados_Mês">#N/A</definedName>
  </definedNames>
  <calcPr calcId="191029"/>
  <pivotCaches>
    <pivotCache cacheId="58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" l="1"/>
  <c r="H33" i="3"/>
  <c r="H34" i="3"/>
  <c r="H35" i="3"/>
  <c r="H36" i="3"/>
  <c r="H37" i="3"/>
  <c r="H38" i="3"/>
  <c r="H39" i="3"/>
  <c r="H40" i="3"/>
  <c r="H41" i="3"/>
  <c r="H42" i="3"/>
  <c r="H31" i="3"/>
  <c r="G32" i="3"/>
  <c r="G33" i="3"/>
  <c r="G34" i="3"/>
  <c r="G35" i="3"/>
  <c r="G36" i="3"/>
  <c r="G37" i="3"/>
  <c r="G38" i="3"/>
  <c r="G39" i="3"/>
  <c r="G40" i="3"/>
  <c r="G41" i="3"/>
  <c r="G42" i="3"/>
  <c r="G31" i="3"/>
  <c r="F32" i="3"/>
  <c r="F33" i="3"/>
  <c r="F34" i="3"/>
  <c r="F35" i="3"/>
  <c r="F36" i="3"/>
  <c r="F37" i="3"/>
  <c r="F38" i="3"/>
  <c r="F39" i="3"/>
  <c r="F40" i="3"/>
  <c r="F41" i="3"/>
  <c r="F42" i="3"/>
  <c r="F31" i="3"/>
  <c r="E32" i="3"/>
  <c r="E33" i="3"/>
  <c r="E34" i="3"/>
  <c r="E35" i="3"/>
  <c r="E36" i="3"/>
  <c r="E37" i="3"/>
  <c r="E38" i="3"/>
  <c r="E39" i="3"/>
  <c r="E40" i="3"/>
  <c r="E41" i="3"/>
  <c r="E42" i="3"/>
  <c r="E31" i="3"/>
  <c r="D32" i="3"/>
  <c r="D33" i="3"/>
  <c r="D34" i="3"/>
  <c r="D35" i="3"/>
  <c r="D36" i="3"/>
  <c r="D37" i="3"/>
  <c r="D38" i="3"/>
  <c r="D39" i="3"/>
  <c r="D40" i="3"/>
  <c r="D41" i="3"/>
  <c r="D42" i="3"/>
  <c r="D31" i="3"/>
  <c r="P26" i="3"/>
  <c r="P25" i="3"/>
  <c r="P24" i="3"/>
  <c r="P23" i="3"/>
  <c r="P22" i="3"/>
  <c r="P21" i="3"/>
  <c r="P20" i="3"/>
  <c r="P19" i="3"/>
  <c r="P18" i="3"/>
  <c r="P17" i="3"/>
  <c r="P16" i="3"/>
  <c r="P15" i="3"/>
  <c r="O26" i="3"/>
  <c r="O25" i="3"/>
  <c r="O24" i="3"/>
  <c r="O23" i="3"/>
  <c r="O22" i="3"/>
  <c r="O21" i="3"/>
  <c r="O20" i="3"/>
  <c r="O19" i="3"/>
  <c r="O18" i="3"/>
  <c r="O17" i="3"/>
  <c r="O16" i="3"/>
  <c r="O15" i="3"/>
  <c r="I16" i="3"/>
  <c r="I17" i="3"/>
  <c r="I18" i="3"/>
  <c r="I19" i="3"/>
  <c r="I20" i="3"/>
  <c r="I21" i="3"/>
  <c r="I22" i="3"/>
  <c r="I23" i="3"/>
  <c r="I24" i="3"/>
  <c r="I25" i="3"/>
  <c r="I26" i="3"/>
  <c r="I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D15" i="3"/>
  <c r="C15" i="3"/>
  <c r="J8" i="3"/>
  <c r="F8" i="3"/>
  <c r="L8" i="3" s="1"/>
  <c r="D8" i="3"/>
  <c r="C8" i="3"/>
  <c r="I8" i="3" s="1"/>
  <c r="B8" i="3"/>
  <c r="H8" i="3" s="1"/>
  <c r="C15" i="9"/>
  <c r="C11" i="9"/>
  <c r="C9" i="9"/>
  <c r="C7" i="9"/>
  <c r="C6" i="9"/>
  <c r="C8" i="9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8" i="8"/>
  <c r="E7" i="8"/>
  <c r="E6" i="8"/>
  <c r="D17" i="8"/>
  <c r="D16" i="8"/>
  <c r="D15" i="8"/>
  <c r="D14" i="8"/>
  <c r="D13" i="8"/>
  <c r="D12" i="8"/>
  <c r="D11" i="8"/>
  <c r="D10" i="8"/>
  <c r="D9" i="8"/>
  <c r="D8" i="8"/>
  <c r="D7" i="8"/>
  <c r="D6" i="8"/>
  <c r="C17" i="8"/>
  <c r="C16" i="8"/>
  <c r="C15" i="8"/>
  <c r="C14" i="8"/>
  <c r="C13" i="8"/>
  <c r="C12" i="8"/>
  <c r="C11" i="8"/>
  <c r="C10" i="8"/>
  <c r="C9" i="8"/>
  <c r="C8" i="8"/>
  <c r="C7" i="8"/>
  <c r="C6" i="8"/>
  <c r="C13" i="9"/>
  <c r="N20" i="7"/>
  <c r="M20" i="7"/>
  <c r="F20" i="7"/>
  <c r="E20" i="7"/>
  <c r="N19" i="7"/>
  <c r="M19" i="7"/>
  <c r="L19" i="7"/>
  <c r="K19" i="7"/>
  <c r="J19" i="7"/>
  <c r="I19" i="7"/>
  <c r="H19" i="7"/>
  <c r="G19" i="7"/>
  <c r="F19" i="7"/>
  <c r="E19" i="7"/>
  <c r="D19" i="7"/>
  <c r="C19" i="7"/>
  <c r="O18" i="7"/>
  <c r="O17" i="7"/>
  <c r="O16" i="7"/>
  <c r="O19" i="7" s="1"/>
  <c r="N14" i="7"/>
  <c r="M14" i="7"/>
  <c r="L14" i="7"/>
  <c r="K14" i="7"/>
  <c r="J14" i="7"/>
  <c r="I14" i="7"/>
  <c r="H14" i="7"/>
  <c r="G14" i="7"/>
  <c r="F14" i="7"/>
  <c r="E14" i="7"/>
  <c r="D14" i="7"/>
  <c r="C14" i="7"/>
  <c r="O13" i="7"/>
  <c r="O14" i="7" s="1"/>
  <c r="N11" i="7"/>
  <c r="M11" i="7"/>
  <c r="L11" i="7"/>
  <c r="L20" i="7" s="1"/>
  <c r="K11" i="7"/>
  <c r="K20" i="7" s="1"/>
  <c r="J11" i="7"/>
  <c r="J20" i="7" s="1"/>
  <c r="I11" i="7"/>
  <c r="I20" i="7" s="1"/>
  <c r="H11" i="7"/>
  <c r="H20" i="7" s="1"/>
  <c r="G11" i="7"/>
  <c r="G20" i="7" s="1"/>
  <c r="F11" i="7"/>
  <c r="E11" i="7"/>
  <c r="D11" i="7"/>
  <c r="D20" i="7" s="1"/>
  <c r="C11" i="7"/>
  <c r="C20" i="7" s="1"/>
  <c r="O10" i="7"/>
  <c r="O8" i="7"/>
  <c r="O7" i="7"/>
  <c r="O11" i="7" s="1"/>
  <c r="O20" i="7" s="1"/>
  <c r="C28" i="1"/>
  <c r="N27" i="1"/>
  <c r="N28" i="1" s="1"/>
  <c r="M27" i="1"/>
  <c r="M28" i="1" s="1"/>
  <c r="L27" i="1"/>
  <c r="L28" i="1" s="1"/>
  <c r="K27" i="1"/>
  <c r="K28" i="1" s="1"/>
  <c r="J27" i="1"/>
  <c r="J28" i="1" s="1"/>
  <c r="I27" i="1"/>
  <c r="I28" i="1" s="1"/>
  <c r="H27" i="1"/>
  <c r="H28" i="1" s="1"/>
  <c r="G27" i="1"/>
  <c r="G28" i="1" s="1"/>
  <c r="F27" i="1"/>
  <c r="F28" i="1" s="1"/>
  <c r="E27" i="1"/>
  <c r="E28" i="1" s="1"/>
  <c r="D27" i="1"/>
  <c r="D28" i="1" s="1"/>
  <c r="C27" i="1"/>
  <c r="O26" i="1"/>
  <c r="O27" i="1" s="1"/>
  <c r="N24" i="1"/>
  <c r="M24" i="1"/>
  <c r="L24" i="1"/>
  <c r="K24" i="1"/>
  <c r="J24" i="1"/>
  <c r="I24" i="1"/>
  <c r="H24" i="1"/>
  <c r="G24" i="1"/>
  <c r="F24" i="1"/>
  <c r="E24" i="1"/>
  <c r="D24" i="1"/>
  <c r="C24" i="1"/>
  <c r="O23" i="1"/>
  <c r="O22" i="1"/>
  <c r="O21" i="1"/>
  <c r="O20" i="1"/>
  <c r="O24" i="1" s="1"/>
  <c r="N18" i="1"/>
  <c r="M18" i="1"/>
  <c r="L18" i="1"/>
  <c r="K18" i="1"/>
  <c r="J18" i="1"/>
  <c r="I18" i="1"/>
  <c r="H18" i="1"/>
  <c r="G18" i="1"/>
  <c r="O18" i="1" s="1"/>
  <c r="F18" i="1"/>
  <c r="E18" i="1"/>
  <c r="D18" i="1"/>
  <c r="C18" i="1"/>
  <c r="O17" i="1"/>
  <c r="O16" i="1"/>
  <c r="O15" i="1"/>
  <c r="O14" i="1"/>
  <c r="O13" i="1"/>
  <c r="O12" i="1"/>
  <c r="O11" i="1"/>
  <c r="O10" i="1"/>
  <c r="O9" i="1"/>
  <c r="O8" i="1"/>
  <c r="O7" i="1"/>
  <c r="E8" i="3" l="1"/>
  <c r="K8" i="3" s="1"/>
  <c r="C10" i="9"/>
  <c r="C14" i="9" s="1"/>
  <c r="C16" i="9" s="1"/>
  <c r="C17" i="9" s="1"/>
  <c r="D18" i="8"/>
  <c r="C18" i="8"/>
  <c r="O28" i="1"/>
</calcChain>
</file>

<file path=xl/sharedStrings.xml><?xml version="1.0" encoding="utf-8"?>
<sst xmlns="http://schemas.openxmlformats.org/spreadsheetml/2006/main" count="240" uniqueCount="86">
  <si>
    <t xml:space="preserve">Descrição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</si>
  <si>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</si>
  <si>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</si>
  <si>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</si>
  <si>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</si>
  <si>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</si>
  <si>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</si>
  <si>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</si>
  <si>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</si>
  <si>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</si>
  <si>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</si>
  <si>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</si>
  <si>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</si>
  <si>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</si>
  <si>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 xml:space="preserve">Custos Operacionais </t>
  </si>
  <si>
    <t>Manutenção de maquinas</t>
  </si>
  <si>
    <t>Energia eletrica</t>
  </si>
  <si>
    <t>Agua</t>
  </si>
  <si>
    <t>Roupas e equip.Seg</t>
  </si>
  <si>
    <t>Insumos/Materia prima</t>
  </si>
  <si>
    <t xml:space="preserve">Mercadorias para revenda </t>
  </si>
  <si>
    <t xml:space="preserve">Materiais para consumo </t>
  </si>
  <si>
    <t xml:space="preserve">Ativo imobilizado </t>
  </si>
  <si>
    <t>Reformas/Manutenção Predial</t>
  </si>
  <si>
    <t>Frete</t>
  </si>
  <si>
    <t>Outros Custos Operacionais</t>
  </si>
  <si>
    <t>Sub-Total</t>
  </si>
  <si>
    <t>Custos Administrativos</t>
  </si>
  <si>
    <t>Materiais de escritorio</t>
  </si>
  <si>
    <t xml:space="preserve">Impostos </t>
  </si>
  <si>
    <t xml:space="preserve">Funcionários </t>
  </si>
  <si>
    <t>Outros custos administrativos</t>
  </si>
  <si>
    <t xml:space="preserve">Investimentos </t>
  </si>
  <si>
    <t>Gastos com investimentos</t>
  </si>
  <si>
    <t>Total</t>
  </si>
  <si>
    <t xml:space="preserve">  </t>
  </si>
  <si>
    <t>Vendas</t>
  </si>
  <si>
    <t>Revenda</t>
  </si>
  <si>
    <t>Produtos de fabricação propria</t>
  </si>
  <si>
    <t>Aluguel de Maquinas</t>
  </si>
  <si>
    <t>Venda de Ativo</t>
  </si>
  <si>
    <t>Prestação de Serviços</t>
  </si>
  <si>
    <t>Serviços prestados</t>
  </si>
  <si>
    <t>Investimentos/Aplicações Financeiras</t>
  </si>
  <si>
    <t xml:space="preserve">Aplicações Financeiras </t>
  </si>
  <si>
    <t xml:space="preserve">Royaltes </t>
  </si>
  <si>
    <t xml:space="preserve">Direitos autorais </t>
  </si>
  <si>
    <t>Mês</t>
  </si>
  <si>
    <t>Entradas</t>
  </si>
  <si>
    <t>Saídas</t>
  </si>
  <si>
    <t>Saldo</t>
  </si>
  <si>
    <t>TOTAL</t>
  </si>
  <si>
    <t xml:space="preserve"> </t>
  </si>
  <si>
    <t xml:space="preserve"> Valores</t>
  </si>
  <si>
    <t>Receita Bruta Operacional</t>
  </si>
  <si>
    <t>(-) Custo Operacionais</t>
  </si>
  <si>
    <t>Lucro Bruto</t>
  </si>
  <si>
    <t>(-) Despesas Administrativas</t>
  </si>
  <si>
    <t>Resultado Operacional</t>
  </si>
  <si>
    <t>(+) Receitas Financeiras</t>
  </si>
  <si>
    <t>(-) Despesas Financeiras</t>
  </si>
  <si>
    <t>Resultados Financeiros</t>
  </si>
  <si>
    <t>Resultado Antes de Itens Não Operacionais</t>
  </si>
  <si>
    <t>Resultado Antes dos Impostos</t>
  </si>
  <si>
    <t>(-) Impostos sobre o Lucro (IRPJ + CSLL)</t>
  </si>
  <si>
    <t>Lucro Líquido</t>
  </si>
  <si>
    <t>Cards</t>
  </si>
  <si>
    <t>Receita Total</t>
  </si>
  <si>
    <t>Custos + Despesas</t>
  </si>
  <si>
    <t>Margem Líquida</t>
  </si>
  <si>
    <t>Saldo Final de Caixa</t>
  </si>
  <si>
    <t>Rótulos de Linha</t>
  </si>
  <si>
    <t>Total Geral</t>
  </si>
  <si>
    <t>Saldo Final</t>
  </si>
  <si>
    <t>Gráfico Entradas x Saídas</t>
  </si>
  <si>
    <t>Saldo de caixa Mensal</t>
  </si>
  <si>
    <t>Custos e Despesas</t>
  </si>
  <si>
    <t>Custo Operacional</t>
  </si>
  <si>
    <t>Custo Administrativo</t>
  </si>
  <si>
    <t>Soma de Custo Operacional</t>
  </si>
  <si>
    <t>Soma de Custo Administrativo</t>
  </si>
  <si>
    <t>Valores</t>
  </si>
  <si>
    <t>Soma de Entradas</t>
  </si>
  <si>
    <t>Soma de Saídas</t>
  </si>
  <si>
    <t>Soma de Saldo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</si>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</sst>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3" borderId="1" xfId="0" applyFill="1" applyBorder="1"/>
    <xf numFmtId="44" fontId="0" fillId="0" borderId="2" xfId="1" applyFont="1" applyBorder="1"/>
    <xf numFmtId="44" fontId="0" fillId="0" borderId="4" xfId="1" applyFont="1" applyBorder="1"/>
    <xf numFmtId="44" fontId="0" fillId="0" borderId="4" xfId="0" applyNumberFormat="1" applyBorder="1"/>
    <xf numFmtId="0" fontId="0" fillId="0" borderId="9" xfId="0" applyBorder="1"/>
    <xf numFmtId="0" fontId="5" fillId="4" borderId="1" xfId="0" applyFont="1" applyFill="1" applyBorder="1"/>
    <xf numFmtId="0" fontId="5" fillId="4" borderId="2" xfId="0" applyFont="1" applyFill="1" applyBorder="1"/>
    <xf numFmtId="0" fontId="0" fillId="2" borderId="2" xfId="0" applyFill="1" applyBorder="1"/>
    <xf numFmtId="0" fontId="0" fillId="2" borderId="4" xfId="0" applyFill="1" applyBorder="1"/>
    <xf numFmtId="0" fontId="2" fillId="2" borderId="1" xfId="0" applyFont="1" applyFill="1" applyBorder="1"/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1" xfId="0" applyFont="1" applyFill="1" applyBorder="1"/>
    <xf numFmtId="44" fontId="3" fillId="4" borderId="2" xfId="1" applyFont="1" applyFill="1" applyBorder="1"/>
    <xf numFmtId="44" fontId="3" fillId="4" borderId="4" xfId="1" applyFont="1" applyFill="1" applyBorder="1"/>
    <xf numFmtId="44" fontId="3" fillId="4" borderId="4" xfId="0" applyNumberFormat="1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5" fillId="4" borderId="5" xfId="0" applyFont="1" applyFill="1" applyBorder="1"/>
    <xf numFmtId="44" fontId="3" fillId="4" borderId="6" xfId="1" applyFont="1" applyFill="1" applyBorder="1"/>
    <xf numFmtId="44" fontId="3" fillId="4" borderId="7" xfId="1" applyFont="1" applyFill="1" applyBorder="1"/>
    <xf numFmtId="44" fontId="7" fillId="4" borderId="7" xfId="0" applyNumberFormat="1" applyFont="1" applyFill="1" applyBorder="1"/>
    <xf numFmtId="0" fontId="0" fillId="3" borderId="2" xfId="0" applyFill="1" applyBorder="1"/>
    <xf numFmtId="44" fontId="0" fillId="0" borderId="2" xfId="1" quotePrefix="1" applyFont="1" applyBorder="1"/>
    <xf numFmtId="0" fontId="0" fillId="4" borderId="0" xfId="0" applyFill="1"/>
    <xf numFmtId="0" fontId="5" fillId="4" borderId="3" xfId="0" applyFont="1" applyFill="1" applyBorder="1" applyAlignment="1">
      <alignment horizontal="center"/>
    </xf>
    <xf numFmtId="0" fontId="2" fillId="2" borderId="2" xfId="0" applyFont="1" applyFill="1" applyBorder="1"/>
    <xf numFmtId="0" fontId="6" fillId="4" borderId="2" xfId="0" applyFont="1" applyFill="1" applyBorder="1"/>
    <xf numFmtId="0" fontId="5" fillId="4" borderId="6" xfId="0" applyFont="1" applyFill="1" applyBorder="1"/>
    <xf numFmtId="44" fontId="7" fillId="4" borderId="6" xfId="1" applyFont="1" applyFill="1" applyBorder="1"/>
    <xf numFmtId="44" fontId="7" fillId="4" borderId="7" xfId="1" applyFont="1" applyFill="1" applyBorder="1"/>
    <xf numFmtId="44" fontId="0" fillId="0" borderId="0" xfId="0" applyNumberFormat="1"/>
    <xf numFmtId="0" fontId="0" fillId="0" borderId="0" xfId="0" applyFont="1"/>
    <xf numFmtId="0" fontId="5" fillId="4" borderId="11" xfId="0" applyFont="1" applyFill="1" applyBorder="1"/>
    <xf numFmtId="44" fontId="5" fillId="4" borderId="6" xfId="1" applyFont="1" applyFill="1" applyBorder="1"/>
    <xf numFmtId="44" fontId="0" fillId="0" borderId="8" xfId="0" applyNumberFormat="1" applyBorder="1"/>
    <xf numFmtId="44" fontId="0" fillId="0" borderId="7" xfId="0" applyNumberFormat="1" applyBorder="1"/>
    <xf numFmtId="0" fontId="5" fillId="4" borderId="10" xfId="0" applyFont="1" applyFill="1" applyBorder="1"/>
    <xf numFmtId="9" fontId="0" fillId="0" borderId="0" xfId="2" applyFont="1"/>
    <xf numFmtId="0" fontId="8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0" fillId="0" borderId="0" xfId="1" applyNumberFormat="1" applyFont="1"/>
    <xf numFmtId="0" fontId="0" fillId="0" borderId="0" xfId="0" applyBorder="1"/>
    <xf numFmtId="9" fontId="0" fillId="0" borderId="0" xfId="0" applyNumberFormat="1"/>
    <xf numFmtId="44" fontId="0" fillId="0" borderId="0" xfId="0" applyNumberFormat="1" applyFont="1"/>
    <xf numFmtId="44" fontId="0" fillId="0" borderId="0" xfId="0" applyNumberFormat="1" applyBorder="1"/>
    <xf numFmtId="0" fontId="5" fillId="0" borderId="0" xfId="0" applyFont="1" applyFill="1" applyBorder="1"/>
    <xf numFmtId="44" fontId="0" fillId="0" borderId="0" xfId="0" applyNumberFormat="1" applyFill="1" applyBorder="1"/>
    <xf numFmtId="0" fontId="11" fillId="0" borderId="0" xfId="0" applyFont="1" applyFill="1" applyBorder="1"/>
    <xf numFmtId="0" fontId="9" fillId="5" borderId="0" xfId="0" applyFont="1" applyFill="1"/>
    <xf numFmtId="0" fontId="9" fillId="0" borderId="0" xfId="0" applyFont="1"/>
    <xf numFmtId="0" fontId="9" fillId="0" borderId="12" xfId="0" applyFont="1" applyBorder="1"/>
    <xf numFmtId="0" fontId="10" fillId="0" borderId="12" xfId="0" applyFont="1" applyBorder="1"/>
    <xf numFmtId="44" fontId="10" fillId="0" borderId="12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34" formatCode="_-&quot;R$&quot;\ * #,##0.00_-;\-&quot;R$&quot;\ * #,##0.00_-;_-&quot;R$&quot;\ * &quot;-&quot;??_-;_-@_-"/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FINANCEIRO EMPRESARIAL.xlsx]Cálculos!Tabela dinâmica14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</a:t>
            </a:r>
            <a:r>
              <a:rPr lang="pt-BR" baseline="0"/>
              <a:t> vs Saídas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Cálculos!$D$46</c:f>
              <c:strCache>
                <c:ptCount val="1"/>
                <c:pt idx="0">
                  <c:v>Soma de 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Cálculos!$C$47:$C$59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Cálculos!$D$47:$D$59</c:f>
              <c:numCache>
                <c:formatCode>_("R$"* #,##0.00_);_("R$"* \(#,##0.00\);_("R$"* "-"??_);_(@_)</c:formatCode>
                <c:ptCount val="12"/>
                <c:pt idx="0">
                  <c:v>1565367</c:v>
                </c:pt>
                <c:pt idx="1">
                  <c:v>164357</c:v>
                </c:pt>
                <c:pt idx="2">
                  <c:v>536200</c:v>
                </c:pt>
                <c:pt idx="3">
                  <c:v>928680</c:v>
                </c:pt>
                <c:pt idx="4">
                  <c:v>116398</c:v>
                </c:pt>
                <c:pt idx="5">
                  <c:v>959500</c:v>
                </c:pt>
                <c:pt idx="6">
                  <c:v>447520</c:v>
                </c:pt>
                <c:pt idx="7">
                  <c:v>959500</c:v>
                </c:pt>
                <c:pt idx="8">
                  <c:v>928740</c:v>
                </c:pt>
                <c:pt idx="9">
                  <c:v>447760</c:v>
                </c:pt>
                <c:pt idx="10">
                  <c:v>959740</c:v>
                </c:pt>
                <c:pt idx="11">
                  <c:v>1300000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4-4BBE-8EA1-E01A24B322DA}"/>
            </c:ext>
          </c:extLst>
        </c:ser>
        <c:ser>
          <c:idx val="1"/>
          <c:order val="1"/>
          <c:tx>
            <c:strRef>
              <c:f>Cálculos!$E$46</c:f>
              <c:strCache>
                <c:ptCount val="1"/>
                <c:pt idx="0">
                  <c:v>Soma de Saídas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Cálculos!$C$47:$C$59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Cálculos!$E$47:$E$59</c:f>
              <c:numCache>
                <c:formatCode>_("R$"* #,##0.00_);_("R$"* \(#,##0.00\);_("R$"* "-"??_);_(@_)</c:formatCode>
                <c:ptCount val="12"/>
                <c:pt idx="0">
                  <c:v>554584</c:v>
                </c:pt>
                <c:pt idx="1">
                  <c:v>798622</c:v>
                </c:pt>
                <c:pt idx="2">
                  <c:v>552658</c:v>
                </c:pt>
                <c:pt idx="3">
                  <c:v>431719</c:v>
                </c:pt>
                <c:pt idx="4">
                  <c:v>460430</c:v>
                </c:pt>
                <c:pt idx="5">
                  <c:v>463069</c:v>
                </c:pt>
                <c:pt idx="6">
                  <c:v>482515</c:v>
                </c:pt>
                <c:pt idx="7">
                  <c:v>495164</c:v>
                </c:pt>
                <c:pt idx="8">
                  <c:v>459223</c:v>
                </c:pt>
                <c:pt idx="9">
                  <c:v>454104</c:v>
                </c:pt>
                <c:pt idx="10">
                  <c:v>532475</c:v>
                </c:pt>
                <c:pt idx="11">
                  <c:v>571797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4-4BBE-8EA1-E01A24B32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375264"/>
        <c:axId val="1583366624"/>
      </c:barChart>
      <c:catAx>
        <c:axId val="15833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366624"/>
        <c:crosses val="autoZero"/>
        <c:auto val="1"/>
        <c:lblAlgn val="ctr"/>
        <c:lblOffset val="100"/>
        <c:noMultiLvlLbl val="0"/>
      </c:catAx>
      <c:valAx>
        <c:axId val="15833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37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FINANCEIRO EMPRESARIAL.xlsx]Cálculos!Tabela dinâmica15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</a:t>
            </a:r>
            <a:r>
              <a:rPr lang="en-US" baseline="0"/>
              <a:t> de Caixa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Cálculos!$K$46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Cálculos!$J$47:$J$59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Cálculos!$K$47:$K$59</c:f>
              <c:numCache>
                <c:formatCode>_("R$"* #,##0.00_);_("R$"* \(#,##0.00\);_("R$"* "-"??_);_(@_)</c:formatCode>
                <c:ptCount val="12"/>
                <c:pt idx="0">
                  <c:v>1010783</c:v>
                </c:pt>
                <c:pt idx="1">
                  <c:v>376518</c:v>
                </c:pt>
                <c:pt idx="2">
                  <c:v>360060</c:v>
                </c:pt>
                <c:pt idx="3">
                  <c:v>857021</c:v>
                </c:pt>
                <c:pt idx="4">
                  <c:v>512989</c:v>
                </c:pt>
                <c:pt idx="5">
                  <c:v>1009420</c:v>
                </c:pt>
                <c:pt idx="6">
                  <c:v>974425</c:v>
                </c:pt>
                <c:pt idx="7">
                  <c:v>1438761</c:v>
                </c:pt>
                <c:pt idx="8">
                  <c:v>1908278</c:v>
                </c:pt>
                <c:pt idx="9">
                  <c:v>1901934</c:v>
                </c:pt>
                <c:pt idx="10">
                  <c:v>2329199</c:v>
                </c:pt>
                <c:pt idx="11">
                  <c:v>3057402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0-4889-B88E-7D819E5E5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513488"/>
        <c:axId val="1396522608"/>
      </c:lineChart>
      <c:catAx>
        <c:axId val="13965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6522608"/>
        <c:crosses val="autoZero"/>
        <c:auto val="1"/>
        <c:lblAlgn val="ctr"/>
        <c:lblOffset val="100"/>
        <c:noMultiLvlLbl val="0"/>
      </c:catAx>
      <c:valAx>
        <c:axId val="13965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651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FINANCEIRO EMPRESARIAL.xlsx]Cálculos!Tabela dinâmica18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de Custos</a:t>
            </a:r>
            <a:r>
              <a:rPr lang="en-US" baseline="0"/>
              <a:t> e Despesas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Cálculos!$D$66:$D$67</c:f>
              <c:strCache>
                <c:ptCount val="1"/>
                <c:pt idx="0">
                  <c:v>Janeiro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Cálculos!$D$68:$D$69</c:f>
              <c:numCache>
                <c:formatCode>_("R$"* #,##0.00_);_("R$"* \(#,##0.00\);_("R$"* "-"??_);_(@_)</c:formatCode>
                <c:ptCount val="2"/>
                <c:pt idx="0">
                  <c:v>245200</c:v>
                </c:pt>
                <c:pt idx="1">
                  <c:v>297043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B-45E4-A931-A95021171826}"/>
            </c:ext>
          </c:extLst>
        </c:ser>
        <c:ser>
          <c:idx val="1"/>
          <c:order val="1"/>
          <c:tx>
            <c:strRef>
              <c:f>Cálculos!$E$66:$E$67</c:f>
              <c:strCache>
                <c:ptCount val="1"/>
                <c:pt idx="0">
                  <c:v>Fevereiro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Cálculos!$E$68:$E$69</c:f>
              <c:numCache>
                <c:formatCode>_("R$"* #,##0.00_);_("R$"* \(#,##0.00\);_("R$"* "-"??_);_(@_)</c:formatCode>
                <c:ptCount val="2"/>
                <c:pt idx="0">
                  <c:v>476546</c:v>
                </c:pt>
                <c:pt idx="1">
                  <c:v>319734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21B-45E4-A931-A95021171826}"/>
            </c:ext>
          </c:extLst>
        </c:ser>
        <c:ser>
          <c:idx val="2"/>
          <c:order val="2"/>
          <c:tx>
            <c:strRef>
              <c:f>Cálculos!$F$66:$F$67</c:f>
              <c:strCache>
                <c:ptCount val="1"/>
                <c:pt idx="0">
                  <c:v>Março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Cálculos!$F$68:$F$69</c:f>
              <c:numCache>
                <c:formatCode>_("R$"* #,##0.00_);_("R$"* \(#,##0.00\);_("R$"* "-"??_);_(@_)</c:formatCode>
                <c:ptCount val="2"/>
                <c:pt idx="0">
                  <c:v>230700</c:v>
                </c:pt>
                <c:pt idx="1">
                  <c:v>317724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21B-45E4-A931-A95021171826}"/>
            </c:ext>
          </c:extLst>
        </c:ser>
        <c:ser>
          <c:idx val="3"/>
          <c:order val="3"/>
          <c:tx>
            <c:strRef>
              <c:f>Cálculos!$G$66:$G$67</c:f>
              <c:strCache>
                <c:ptCount val="1"/>
                <c:pt idx="0">
                  <c:v>Abril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Cálculos!$G$68:$G$69</c:f>
              <c:numCache>
                <c:formatCode>_("R$"* #,##0.00_);_("R$"* \(#,##0.00\);_("R$"* "-"??_);_(@_)</c:formatCode>
                <c:ptCount val="2"/>
                <c:pt idx="0">
                  <c:v>115900</c:v>
                </c:pt>
                <c:pt idx="1">
                  <c:v>315576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21B-45E4-A931-A95021171826}"/>
            </c:ext>
          </c:extLst>
        </c:ser>
        <c:ser>
          <c:idx val="4"/>
          <c:order val="4"/>
          <c:tx>
            <c:strRef>
              <c:f>Cálculos!$H$66:$H$67</c:f>
              <c:strCache>
                <c:ptCount val="1"/>
                <c:pt idx="0">
                  <c:v>Maio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Cálculos!$H$68:$H$69</c:f>
              <c:numCache>
                <c:formatCode>_("R$"* #,##0.00_);_("R$"* \(#,##0.00\);_("R$"* "-"??_);_(@_)</c:formatCode>
                <c:ptCount val="2"/>
                <c:pt idx="0">
                  <c:v>144400</c:v>
                </c:pt>
                <c:pt idx="1">
                  <c:v>315977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21B-45E4-A931-A95021171826}"/>
            </c:ext>
          </c:extLst>
        </c:ser>
        <c:ser>
          <c:idx val="5"/>
          <c:order val="5"/>
          <c:tx>
            <c:strRef>
              <c:f>Cálculos!$I$66:$I$67</c:f>
              <c:strCache>
                <c:ptCount val="1"/>
                <c:pt idx="0">
                  <c:v>Junho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Cálculos!$I$68:$I$69</c:f>
              <c:numCache>
                <c:formatCode>_("R$"* #,##0.00_);_("R$"* \(#,##0.00\);_("R$"* "-"??_);_(@_)</c:formatCode>
                <c:ptCount val="2"/>
                <c:pt idx="0">
                  <c:v>138060</c:v>
                </c:pt>
                <c:pt idx="1">
                  <c:v>300577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21B-45E4-A931-A95021171826}"/>
            </c:ext>
          </c:extLst>
        </c:ser>
        <c:ser>
          <c:idx val="6"/>
          <c:order val="6"/>
          <c:tx>
            <c:strRef>
              <c:f>Cálculos!$J$66:$J$67</c:f>
              <c:strCache>
                <c:ptCount val="1"/>
                <c:pt idx="0">
                  <c:v>Julho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Cálculos!$J$68:$J$69</c:f>
              <c:numCache>
                <c:formatCode>_("R$"* #,##0.00_);_("R$"* \(#,##0.00\);_("R$"* "-"??_);_(@_)</c:formatCode>
                <c:ptCount val="2"/>
                <c:pt idx="0">
                  <c:v>168100</c:v>
                </c:pt>
                <c:pt idx="1">
                  <c:v>314181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21B-45E4-A931-A95021171826}"/>
            </c:ext>
          </c:extLst>
        </c:ser>
        <c:ser>
          <c:idx val="7"/>
          <c:order val="7"/>
          <c:tx>
            <c:strRef>
              <c:f>Cálculos!$K$66:$K$67</c:f>
              <c:strCache>
                <c:ptCount val="1"/>
                <c:pt idx="0">
                  <c:v>Agosto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Cálculos!$K$68:$K$69</c:f>
              <c:numCache>
                <c:formatCode>_("R$"* #,##0.00_);_("R$"* \(#,##0.00\);_("R$"* "-"??_);_(@_)</c:formatCode>
                <c:ptCount val="2"/>
                <c:pt idx="0">
                  <c:v>191070</c:v>
                </c:pt>
                <c:pt idx="1">
                  <c:v>303852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21B-45E4-A931-A95021171826}"/>
            </c:ext>
          </c:extLst>
        </c:ser>
        <c:ser>
          <c:idx val="8"/>
          <c:order val="8"/>
          <c:tx>
            <c:strRef>
              <c:f>Cálculos!$L$66:$L$67</c:f>
              <c:strCache>
                <c:ptCount val="1"/>
                <c:pt idx="0">
                  <c:v>Setembro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Cálculos!$L$68:$L$69</c:f>
              <c:numCache>
                <c:formatCode>_("R$"* #,##0.00_);_("R$"* \(#,##0.00\);_("R$"* "-"??_);_(@_)</c:formatCode>
                <c:ptCount val="2"/>
                <c:pt idx="0">
                  <c:v>157767</c:v>
                </c:pt>
                <c:pt idx="1">
                  <c:v>301453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21B-45E4-A931-A95021171826}"/>
            </c:ext>
          </c:extLst>
        </c:ser>
        <c:ser>
          <c:idx val="9"/>
          <c:order val="9"/>
          <c:tx>
            <c:strRef>
              <c:f>Cálculos!$M$66:$M$67</c:f>
              <c:strCache>
                <c:ptCount val="1"/>
                <c:pt idx="0">
                  <c:v>Outubro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Cálculos!$M$68:$M$69</c:f>
              <c:numCache>
                <c:formatCode>_("R$"* #,##0.00_);_("R$"* \(#,##0.00\);_("R$"* "-"??_);_(@_)</c:formatCode>
                <c:ptCount val="2"/>
                <c:pt idx="0">
                  <c:v>136448</c:v>
                </c:pt>
                <c:pt idx="1">
                  <c:v>317422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21B-45E4-A931-A95021171826}"/>
            </c:ext>
          </c:extLst>
        </c:ser>
        <c:ser>
          <c:idx val="10"/>
          <c:order val="10"/>
          <c:tx>
            <c:strRef>
              <c:f>Cálculos!$N$66:$N$67</c:f>
              <c:strCache>
                <c:ptCount val="1"/>
                <c:pt idx="0">
                  <c:v>Novembro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Cálculos!$N$68:$N$69</c:f>
              <c:numCache>
                <c:formatCode>_("R$"* #,##0.00_);_("R$"* \(#,##0.00\);_("R$"* "-"??_);_(@_)</c:formatCode>
                <c:ptCount val="2"/>
                <c:pt idx="0">
                  <c:v>236587</c:v>
                </c:pt>
                <c:pt idx="1">
                  <c:v>295654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21B-45E4-A931-A95021171826}"/>
            </c:ext>
          </c:extLst>
        </c:ser>
        <c:ser>
          <c:idx val="11"/>
          <c:order val="11"/>
          <c:tx>
            <c:strRef>
              <c:f>Cálculos!$O$66:$O$67</c:f>
              <c:strCache>
                <c:ptCount val="1"/>
                <c:pt idx="0">
                  <c:v>Dezembro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Cálculos!$C$68:$C$69</c:f>
              <c:strCache>
                <c:ptCount val="2"/>
                <c:pt idx="0">
                  <c:v>Soma de Custo Operacional</c:v>
                </c:pt>
                <c:pt idx="1">
                  <c:v>Soma de Custo Administrativo</c:v>
                </c:pt>
              </c:strCache>
            </c:strRef>
          </c:cat>
          <c:val>
            <c:numRef>
              <c:f>Cálculos!$O$68:$O$69</c:f>
              <c:numCache>
                <c:formatCode>_("R$"* #,##0.00_);_("R$"* \(#,##0.00\);_("R$"* "-"??_);_(@_)</c:formatCode>
                <c:ptCount val="2"/>
                <c:pt idx="0">
                  <c:v>256687</c:v>
                </c:pt>
                <c:pt idx="1">
                  <c:v>314876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21B-45E4-A931-A95021171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Fluxo_de_Caixa!A1"/><Relationship Id="rId13" Type="http://schemas.microsoft.com/office/2007/relationships/hdphoto" Target="../media/hdphoto4.wdp"/><Relationship Id="rId3" Type="http://schemas.openxmlformats.org/officeDocument/2006/relationships/hyperlink" Target="#Contas_a_Pagar!A1"/><Relationship Id="rId7" Type="http://schemas.microsoft.com/office/2007/relationships/hdphoto" Target="../media/hdphoto2.wdp"/><Relationship Id="rId12" Type="http://schemas.openxmlformats.org/officeDocument/2006/relationships/image" Target="../media/image5.png"/><Relationship Id="rId2" Type="http://schemas.microsoft.com/office/2007/relationships/hdphoto" Target="../media/hdphoto1.wdp"/><Relationship Id="rId16" Type="http://schemas.microsoft.com/office/2007/relationships/hdphoto" Target="../media/hdphoto5.wdp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hyperlink" Target="#DRE_Simplificada!A1"/><Relationship Id="rId5" Type="http://schemas.openxmlformats.org/officeDocument/2006/relationships/hyperlink" Target="#Contas_a_Receber!A1"/><Relationship Id="rId15" Type="http://schemas.openxmlformats.org/officeDocument/2006/relationships/image" Target="../media/image6.png"/><Relationship Id="rId10" Type="http://schemas.microsoft.com/office/2007/relationships/hdphoto" Target="../media/hdphoto3.wdp"/><Relationship Id="rId4" Type="http://schemas.openxmlformats.org/officeDocument/2006/relationships/image" Target="../media/image2.png"/><Relationship Id="rId9" Type="http://schemas.openxmlformats.org/officeDocument/2006/relationships/image" Target="../media/image4.png"/><Relationship Id="rId1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Fluxo_de_Caixa!A1"/><Relationship Id="rId13" Type="http://schemas.openxmlformats.org/officeDocument/2006/relationships/image" Target="../media/image10.png"/><Relationship Id="rId3" Type="http://schemas.openxmlformats.org/officeDocument/2006/relationships/hyperlink" Target="#Contas_a_Pagar!A1"/><Relationship Id="rId7" Type="http://schemas.openxmlformats.org/officeDocument/2006/relationships/image" Target="../media/image8.png"/><Relationship Id="rId12" Type="http://schemas.microsoft.com/office/2007/relationships/hdphoto" Target="../media/hdphoto7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Contas_a_Receber!A1"/><Relationship Id="rId11" Type="http://schemas.openxmlformats.org/officeDocument/2006/relationships/image" Target="../media/image9.png"/><Relationship Id="rId5" Type="http://schemas.microsoft.com/office/2007/relationships/hdphoto" Target="../media/hdphoto6.wdp"/><Relationship Id="rId10" Type="http://schemas.microsoft.com/office/2007/relationships/hdphoto" Target="../media/hdphoto3.wdp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14" Type="http://schemas.microsoft.com/office/2007/relationships/hdphoto" Target="../media/hdphoto8.wdp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microsoft.com/office/2007/relationships/hdphoto" Target="../media/hdphoto4.wdp"/><Relationship Id="rId3" Type="http://schemas.openxmlformats.org/officeDocument/2006/relationships/hyperlink" Target="#Contas_a_Pagar!A1"/><Relationship Id="rId7" Type="http://schemas.openxmlformats.org/officeDocument/2006/relationships/image" Target="../media/image3.png"/><Relationship Id="rId12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Contas_a_Receber!A1"/><Relationship Id="rId11" Type="http://schemas.openxmlformats.org/officeDocument/2006/relationships/hyperlink" Target="#DRE_Simplificada!A1"/><Relationship Id="rId5" Type="http://schemas.microsoft.com/office/2007/relationships/hdphoto" Target="../media/hdphoto6.wdp"/><Relationship Id="rId15" Type="http://schemas.microsoft.com/office/2007/relationships/hdphoto" Target="../media/hdphoto5.wdp"/><Relationship Id="rId10" Type="http://schemas.openxmlformats.org/officeDocument/2006/relationships/image" Target="../media/image11.png"/><Relationship Id="rId4" Type="http://schemas.openxmlformats.org/officeDocument/2006/relationships/image" Target="../media/image7.png"/><Relationship Id="rId9" Type="http://schemas.openxmlformats.org/officeDocument/2006/relationships/hyperlink" Target="#Fluxo_de_Caixa!A1"/><Relationship Id="rId1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12.png"/><Relationship Id="rId3" Type="http://schemas.openxmlformats.org/officeDocument/2006/relationships/hyperlink" Target="#Contas_a_Pagar!A1"/><Relationship Id="rId7" Type="http://schemas.openxmlformats.org/officeDocument/2006/relationships/image" Target="../media/image3.png"/><Relationship Id="rId12" Type="http://schemas.openxmlformats.org/officeDocument/2006/relationships/hyperlink" Target="#DRE_Simplificada!A1"/><Relationship Id="rId2" Type="http://schemas.microsoft.com/office/2007/relationships/hdphoto" Target="../media/hdphoto1.wdp"/><Relationship Id="rId16" Type="http://schemas.microsoft.com/office/2007/relationships/hdphoto" Target="../media/hdphoto5.wdp"/><Relationship Id="rId1" Type="http://schemas.openxmlformats.org/officeDocument/2006/relationships/image" Target="../media/image1.png"/><Relationship Id="rId6" Type="http://schemas.openxmlformats.org/officeDocument/2006/relationships/hyperlink" Target="#Contas_a_Receber!A1"/><Relationship Id="rId11" Type="http://schemas.microsoft.com/office/2007/relationships/hdphoto" Target="../media/hdphoto3.wdp"/><Relationship Id="rId5" Type="http://schemas.microsoft.com/office/2007/relationships/hdphoto" Target="../media/hdphoto6.wdp"/><Relationship Id="rId15" Type="http://schemas.openxmlformats.org/officeDocument/2006/relationships/image" Target="../media/image6.png"/><Relationship Id="rId10" Type="http://schemas.openxmlformats.org/officeDocument/2006/relationships/image" Target="../media/image4.png"/><Relationship Id="rId4" Type="http://schemas.openxmlformats.org/officeDocument/2006/relationships/image" Target="../media/image7.png"/><Relationship Id="rId9" Type="http://schemas.openxmlformats.org/officeDocument/2006/relationships/hyperlink" Target="#Fluxo_de_Caixa!A1"/><Relationship Id="rId14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5.png"/><Relationship Id="rId3" Type="http://schemas.openxmlformats.org/officeDocument/2006/relationships/hyperlink" Target="#Contas_a_Pagar!A1"/><Relationship Id="rId7" Type="http://schemas.openxmlformats.org/officeDocument/2006/relationships/image" Target="../media/image3.png"/><Relationship Id="rId12" Type="http://schemas.openxmlformats.org/officeDocument/2006/relationships/hyperlink" Target="#DRE_Simplificada!A1"/><Relationship Id="rId17" Type="http://schemas.microsoft.com/office/2007/relationships/hdphoto" Target="../media/hdphoto5.wdp"/><Relationship Id="rId2" Type="http://schemas.microsoft.com/office/2007/relationships/hdphoto" Target="../media/hdphoto1.wdp"/><Relationship Id="rId16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hyperlink" Target="#Contas_a_Receber!A1"/><Relationship Id="rId11" Type="http://schemas.microsoft.com/office/2007/relationships/hdphoto" Target="../media/hdphoto3.wdp"/><Relationship Id="rId5" Type="http://schemas.microsoft.com/office/2007/relationships/hdphoto" Target="../media/hdphoto6.wdp"/><Relationship Id="rId15" Type="http://schemas.openxmlformats.org/officeDocument/2006/relationships/hyperlink" Target="#Dashboard!A1"/><Relationship Id="rId10" Type="http://schemas.openxmlformats.org/officeDocument/2006/relationships/image" Target="../media/image4.png"/><Relationship Id="rId4" Type="http://schemas.openxmlformats.org/officeDocument/2006/relationships/image" Target="../media/image7.png"/><Relationship Id="rId9" Type="http://schemas.openxmlformats.org/officeDocument/2006/relationships/hyperlink" Target="#Fluxo_de_Caixa!A1"/><Relationship Id="rId14" Type="http://schemas.microsoft.com/office/2007/relationships/hdphoto" Target="../media/hdphoto4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9.wdp"/><Relationship Id="rId1" Type="http://schemas.openxmlformats.org/officeDocument/2006/relationships/image" Target="../media/image1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1</xdr:col>
      <xdr:colOff>438150</xdr:colOff>
      <xdr:row>1</xdr:row>
      <xdr:rowOff>337966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C80097-AB6B-46F2-A5CC-4B69F0708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918" t="24315" r="21233" b="25685"/>
        <a:stretch>
          <a:fillRect/>
        </a:stretch>
      </xdr:blipFill>
      <xdr:spPr>
        <a:xfrm>
          <a:off x="295275" y="57150"/>
          <a:ext cx="752475" cy="661816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714374</xdr:colOff>
      <xdr:row>0</xdr:row>
      <xdr:rowOff>0</xdr:rowOff>
    </xdr:from>
    <xdr:to>
      <xdr:col>1</xdr:col>
      <xdr:colOff>1657349</xdr:colOff>
      <xdr:row>2</xdr:row>
      <xdr:rowOff>9525</xdr:rowOff>
    </xdr:to>
    <xdr:grpSp>
      <xdr:nvGrpSpPr>
        <xdr:cNvPr id="17" name="Agrupar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38F62B-0227-69AD-CED1-CB9A7C152164}"/>
            </a:ext>
          </a:extLst>
        </xdr:cNvPr>
        <xdr:cNvGrpSpPr/>
      </xdr:nvGrpSpPr>
      <xdr:grpSpPr>
        <a:xfrm>
          <a:off x="1323974" y="0"/>
          <a:ext cx="942975" cy="771525"/>
          <a:chOff x="1323974" y="0"/>
          <a:chExt cx="942975" cy="7715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A13B2142-6F7A-4114-B3AF-209D0343ADC4}"/>
              </a:ext>
            </a:extLst>
          </xdr:cNvPr>
          <xdr:cNvSpPr/>
        </xdr:nvSpPr>
        <xdr:spPr>
          <a:xfrm>
            <a:off x="1323974" y="0"/>
            <a:ext cx="94297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AFB6F06D-25D7-4AC8-B670-24121DA218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677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1657349</xdr:colOff>
      <xdr:row>0</xdr:row>
      <xdr:rowOff>0</xdr:rowOff>
    </xdr:from>
    <xdr:to>
      <xdr:col>2</xdr:col>
      <xdr:colOff>704849</xdr:colOff>
      <xdr:row>2</xdr:row>
      <xdr:rowOff>9525</xdr:rowOff>
    </xdr:to>
    <xdr:grpSp>
      <xdr:nvGrpSpPr>
        <xdr:cNvPr id="18" name="Agrupar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F32F49-53FC-C625-3F56-E34CDB42C0A7}"/>
            </a:ext>
          </a:extLst>
        </xdr:cNvPr>
        <xdr:cNvGrpSpPr/>
      </xdr:nvGrpSpPr>
      <xdr:grpSpPr>
        <a:xfrm>
          <a:off x="2266949" y="0"/>
          <a:ext cx="942975" cy="771525"/>
          <a:chOff x="2266949" y="0"/>
          <a:chExt cx="942975" cy="7715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18AC6213-3F90-D472-A953-4410301C5AFE}"/>
              </a:ext>
            </a:extLst>
          </xdr:cNvPr>
          <xdr:cNvSpPr/>
        </xdr:nvSpPr>
        <xdr:spPr>
          <a:xfrm>
            <a:off x="226694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840A12B2-F106-15AC-94D9-8797D65A76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097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704849</xdr:colOff>
      <xdr:row>0</xdr:row>
      <xdr:rowOff>0</xdr:rowOff>
    </xdr:from>
    <xdr:to>
      <xdr:col>3</xdr:col>
      <xdr:colOff>685799</xdr:colOff>
      <xdr:row>2</xdr:row>
      <xdr:rowOff>9525</xdr:rowOff>
    </xdr:to>
    <xdr:grpSp>
      <xdr:nvGrpSpPr>
        <xdr:cNvPr id="19" name="Agrupar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AB9658-2F16-8EE3-779B-7D98CF9416E0}"/>
            </a:ext>
          </a:extLst>
        </xdr:cNvPr>
        <xdr:cNvGrpSpPr/>
      </xdr:nvGrpSpPr>
      <xdr:grpSpPr>
        <a:xfrm>
          <a:off x="3209924" y="0"/>
          <a:ext cx="942975" cy="771525"/>
          <a:chOff x="3209924" y="0"/>
          <a:chExt cx="942975" cy="771525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FCBAE00-1466-F7FC-CC9A-7BB62CB82992}"/>
              </a:ext>
            </a:extLst>
          </xdr:cNvPr>
          <xdr:cNvSpPr/>
        </xdr:nvSpPr>
        <xdr:spPr>
          <a:xfrm>
            <a:off x="320992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6DEAF178-51C6-4E7B-7A36-B44EF4197A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5272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685799</xdr:colOff>
      <xdr:row>0</xdr:row>
      <xdr:rowOff>0</xdr:rowOff>
    </xdr:from>
    <xdr:to>
      <xdr:col>4</xdr:col>
      <xdr:colOff>666749</xdr:colOff>
      <xdr:row>2</xdr:row>
      <xdr:rowOff>9525</xdr:rowOff>
    </xdr:to>
    <xdr:grpSp>
      <xdr:nvGrpSpPr>
        <xdr:cNvPr id="20" name="Agrupar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4FA2C8E-F515-EC64-6E22-59B1BF5CE9C2}"/>
            </a:ext>
          </a:extLst>
        </xdr:cNvPr>
        <xdr:cNvGrpSpPr/>
      </xdr:nvGrpSpPr>
      <xdr:grpSpPr>
        <a:xfrm>
          <a:off x="4152899" y="0"/>
          <a:ext cx="942975" cy="771525"/>
          <a:chOff x="4152899" y="0"/>
          <a:chExt cx="942975" cy="77152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F1B5129E-846F-A08F-2A23-DE3ABE1DCE28}"/>
              </a:ext>
            </a:extLst>
          </xdr:cNvPr>
          <xdr:cNvSpPr/>
        </xdr:nvSpPr>
        <xdr:spPr>
          <a:xfrm>
            <a:off x="415289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43676372-A9AA-9D99-A92E-F0BA3DCA71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29570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666749</xdr:colOff>
      <xdr:row>0</xdr:row>
      <xdr:rowOff>0</xdr:rowOff>
    </xdr:from>
    <xdr:to>
      <xdr:col>5</xdr:col>
      <xdr:colOff>647699</xdr:colOff>
      <xdr:row>2</xdr:row>
      <xdr:rowOff>9525</xdr:rowOff>
    </xdr:to>
    <xdr:grpSp>
      <xdr:nvGrpSpPr>
        <xdr:cNvPr id="16" name="Agrupar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8F501C8-5D06-A280-1E97-D50EE19C7F77}"/>
            </a:ext>
          </a:extLst>
        </xdr:cNvPr>
        <xdr:cNvGrpSpPr/>
      </xdr:nvGrpSpPr>
      <xdr:grpSpPr>
        <a:xfrm>
          <a:off x="5095874" y="0"/>
          <a:ext cx="942975" cy="771525"/>
          <a:chOff x="5095874" y="0"/>
          <a:chExt cx="942975" cy="771525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9738A938-599D-DCE5-09DC-CEEEA4F3D61C}"/>
              </a:ext>
            </a:extLst>
          </xdr:cNvPr>
          <xdr:cNvSpPr/>
        </xdr:nvSpPr>
        <xdr:spPr>
          <a:xfrm>
            <a:off x="50958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A3869FE9-9B8A-E787-3956-939DF76D1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200649" y="19047"/>
            <a:ext cx="733427" cy="733427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219074</xdr:colOff>
      <xdr:row>0</xdr:row>
      <xdr:rowOff>9525</xdr:rowOff>
    </xdr:from>
    <xdr:to>
      <xdr:col>11</xdr:col>
      <xdr:colOff>495300</xdr:colOff>
      <xdr:row>2</xdr:row>
      <xdr:rowOff>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B12F31AA-1AB7-162F-98C9-78E2ECBB2A3F}"/>
            </a:ext>
          </a:extLst>
        </xdr:cNvPr>
        <xdr:cNvSpPr txBox="1"/>
      </xdr:nvSpPr>
      <xdr:spPr>
        <a:xfrm>
          <a:off x="7534274" y="9525"/>
          <a:ext cx="4124326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200">
              <a:solidFill>
                <a:schemeClr val="bg1"/>
              </a:solidFill>
              <a:latin typeface="Century Gothic" panose="020B0502020202020204" pitchFamily="34" charset="0"/>
            </a:rPr>
            <a:t>CONTAS</a:t>
          </a:r>
          <a:r>
            <a:rPr lang="pt-BR" sz="3200" baseline="0">
              <a:solidFill>
                <a:schemeClr val="bg1"/>
              </a:solidFill>
              <a:latin typeface="Century Gothic" panose="020B0502020202020204" pitchFamily="34" charset="0"/>
            </a:rPr>
            <a:t> A PAGAR</a:t>
          </a:r>
          <a:endParaRPr lang="pt-BR" sz="32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1</xdr:col>
      <xdr:colOff>438150</xdr:colOff>
      <xdr:row>1</xdr:row>
      <xdr:rowOff>337966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A7E2A-F533-454A-B7E4-E2505D327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918" t="24315" r="21233" b="25685"/>
        <a:stretch>
          <a:fillRect/>
        </a:stretch>
      </xdr:blipFill>
      <xdr:spPr>
        <a:xfrm>
          <a:off x="295275" y="57150"/>
          <a:ext cx="752475" cy="661816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714374</xdr:colOff>
      <xdr:row>0</xdr:row>
      <xdr:rowOff>0</xdr:rowOff>
    </xdr:from>
    <xdr:to>
      <xdr:col>1</xdr:col>
      <xdr:colOff>1657349</xdr:colOff>
      <xdr:row>2</xdr:row>
      <xdr:rowOff>9525</xdr:rowOff>
    </xdr:to>
    <xdr:grpSp>
      <xdr:nvGrpSpPr>
        <xdr:cNvPr id="15" name="Agrupar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7FD945-2684-4046-0C73-091B223CF301}"/>
            </a:ext>
          </a:extLst>
        </xdr:cNvPr>
        <xdr:cNvGrpSpPr/>
      </xdr:nvGrpSpPr>
      <xdr:grpSpPr>
        <a:xfrm>
          <a:off x="1319492" y="0"/>
          <a:ext cx="942975" cy="771525"/>
          <a:chOff x="1323974" y="0"/>
          <a:chExt cx="942975" cy="7715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A0313D3E-1EA1-499A-A437-FE6B0E76D4AD}"/>
              </a:ext>
            </a:extLst>
          </xdr:cNvPr>
          <xdr:cNvSpPr/>
        </xdr:nvSpPr>
        <xdr:spPr>
          <a:xfrm>
            <a:off x="13239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FFA9C814-6E09-443F-8ADF-868CCBEB1A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677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1657349</xdr:colOff>
      <xdr:row>0</xdr:row>
      <xdr:rowOff>0</xdr:rowOff>
    </xdr:from>
    <xdr:to>
      <xdr:col>2</xdr:col>
      <xdr:colOff>200024</xdr:colOff>
      <xdr:row>2</xdr:row>
      <xdr:rowOff>9525</xdr:rowOff>
    </xdr:to>
    <xdr:grpSp>
      <xdr:nvGrpSpPr>
        <xdr:cNvPr id="17" name="Agrupar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0C9F32-7B40-0A9C-9D70-7BE859EAE63B}"/>
            </a:ext>
          </a:extLst>
        </xdr:cNvPr>
        <xdr:cNvGrpSpPr/>
      </xdr:nvGrpSpPr>
      <xdr:grpSpPr>
        <a:xfrm>
          <a:off x="2262467" y="0"/>
          <a:ext cx="940733" cy="771525"/>
          <a:chOff x="2266949" y="0"/>
          <a:chExt cx="942975" cy="7715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939998F8-4974-4DE4-81FF-44F910DDD6C5}"/>
              </a:ext>
            </a:extLst>
          </xdr:cNvPr>
          <xdr:cNvSpPr/>
        </xdr:nvSpPr>
        <xdr:spPr>
          <a:xfrm>
            <a:off x="2266949" y="0"/>
            <a:ext cx="94297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3CC69ADC-EAF5-4608-A9E8-2CD28FCC82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097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200024</xdr:colOff>
      <xdr:row>0</xdr:row>
      <xdr:rowOff>0</xdr:rowOff>
    </xdr:from>
    <xdr:to>
      <xdr:col>2</xdr:col>
      <xdr:colOff>1142999</xdr:colOff>
      <xdr:row>2</xdr:row>
      <xdr:rowOff>9525</xdr:rowOff>
    </xdr:to>
    <xdr:grpSp>
      <xdr:nvGrpSpPr>
        <xdr:cNvPr id="16" name="Agrupar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2467C4A-7470-9BC0-EA53-51DD639F4D67}"/>
            </a:ext>
          </a:extLst>
        </xdr:cNvPr>
        <xdr:cNvGrpSpPr/>
      </xdr:nvGrpSpPr>
      <xdr:grpSpPr>
        <a:xfrm>
          <a:off x="3203200" y="0"/>
          <a:ext cx="942975" cy="771525"/>
          <a:chOff x="3209924" y="0"/>
          <a:chExt cx="942975" cy="771525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AFCBB2CD-5853-47B9-9C3D-224609F85652}"/>
              </a:ext>
            </a:extLst>
          </xdr:cNvPr>
          <xdr:cNvSpPr/>
        </xdr:nvSpPr>
        <xdr:spPr>
          <a:xfrm>
            <a:off x="320992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739BB63B-CDEB-4DBC-9493-9DBEA06506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5272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761999</xdr:colOff>
      <xdr:row>2</xdr:row>
      <xdr:rowOff>9525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A48F3BE-2ADC-4E05-8DA6-03A91297F7D4}"/>
            </a:ext>
          </a:extLst>
        </xdr:cNvPr>
        <xdr:cNvSpPr/>
      </xdr:nvSpPr>
      <xdr:spPr>
        <a:xfrm>
          <a:off x="4152899" y="0"/>
          <a:ext cx="942975" cy="77152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1285800</xdr:colOff>
      <xdr:row>0</xdr:row>
      <xdr:rowOff>66598</xdr:rowOff>
    </xdr:from>
    <xdr:to>
      <xdr:col>3</xdr:col>
      <xdr:colOff>605259</xdr:colOff>
      <xdr:row>1</xdr:row>
      <xdr:rowOff>329032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8DF7883-5F50-4251-87CF-A69F7620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5700" y="66598"/>
          <a:ext cx="643434" cy="643434"/>
        </a:xfrm>
        <a:prstGeom prst="rect">
          <a:avLst/>
        </a:prstGeom>
      </xdr:spPr>
    </xdr:pic>
    <xdr:clientData/>
  </xdr:twoCellAnchor>
  <xdr:twoCellAnchor editAs="absolute">
    <xdr:from>
      <xdr:col>3</xdr:col>
      <xdr:colOff>761999</xdr:colOff>
      <xdr:row>0</xdr:row>
      <xdr:rowOff>0</xdr:rowOff>
    </xdr:from>
    <xdr:to>
      <xdr:col>4</xdr:col>
      <xdr:colOff>514349</xdr:colOff>
      <xdr:row>2</xdr:row>
      <xdr:rowOff>9525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47B0CF3-902B-4D87-9689-7BC218CC5065}"/>
            </a:ext>
          </a:extLst>
        </xdr:cNvPr>
        <xdr:cNvGrpSpPr/>
      </xdr:nvGrpSpPr>
      <xdr:grpSpPr>
        <a:xfrm>
          <a:off x="5087470" y="0"/>
          <a:ext cx="940173" cy="771525"/>
          <a:chOff x="5095874" y="0"/>
          <a:chExt cx="942975" cy="771525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5D0BB078-9CF7-2713-299B-B02BB0DD5D94}"/>
              </a:ext>
            </a:extLst>
          </xdr:cNvPr>
          <xdr:cNvSpPr/>
        </xdr:nvSpPr>
        <xdr:spPr>
          <a:xfrm>
            <a:off x="50958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DAC050D9-3F3E-3B48-62E3-3885292C4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BEBA8EAE-BF5A-486C-A8C5-ECC9F3942E4B}">
                <a14:imgProps xmlns:a14="http://schemas.microsoft.com/office/drawing/2010/main">
                  <a14:imgLayer r:embed="rId14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200649" y="19047"/>
            <a:ext cx="733427" cy="733427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819149</xdr:colOff>
      <xdr:row>0</xdr:row>
      <xdr:rowOff>9525</xdr:rowOff>
    </xdr:from>
    <xdr:to>
      <xdr:col>9</xdr:col>
      <xdr:colOff>180975</xdr:colOff>
      <xdr:row>2</xdr:row>
      <xdr:rowOff>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3BB949F-2722-42B8-B71B-59CDB9F5FBF1}"/>
            </a:ext>
          </a:extLst>
        </xdr:cNvPr>
        <xdr:cNvSpPr txBox="1"/>
      </xdr:nvSpPr>
      <xdr:spPr>
        <a:xfrm>
          <a:off x="7534274" y="9525"/>
          <a:ext cx="4124326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200">
              <a:solidFill>
                <a:schemeClr val="bg1"/>
              </a:solidFill>
              <a:latin typeface="Century Gothic" panose="020B0502020202020204" pitchFamily="34" charset="0"/>
            </a:rPr>
            <a:t>CONTAS</a:t>
          </a:r>
          <a:r>
            <a:rPr lang="pt-BR" sz="3200" baseline="0">
              <a:solidFill>
                <a:schemeClr val="bg1"/>
              </a:solidFill>
              <a:latin typeface="Century Gothic" panose="020B0502020202020204" pitchFamily="34" charset="0"/>
            </a:rPr>
            <a:t> A RECEBER</a:t>
          </a:r>
          <a:endParaRPr lang="pt-BR" sz="32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1</xdr:col>
      <xdr:colOff>438150</xdr:colOff>
      <xdr:row>1</xdr:row>
      <xdr:rowOff>337966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B3B4DA-058C-4C39-B5DB-61963D0F2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918" t="24315" r="21233" b="25685"/>
        <a:stretch>
          <a:fillRect/>
        </a:stretch>
      </xdr:blipFill>
      <xdr:spPr>
        <a:xfrm>
          <a:off x="295275" y="57150"/>
          <a:ext cx="752475" cy="661816"/>
        </a:xfrm>
        <a:prstGeom prst="rect">
          <a:avLst/>
        </a:prstGeom>
      </xdr:spPr>
    </xdr:pic>
    <xdr:clientData/>
  </xdr:twoCellAnchor>
  <xdr:twoCellAnchor editAs="absolute">
    <xdr:from>
      <xdr:col>2</xdr:col>
      <xdr:colOff>38099</xdr:colOff>
      <xdr:row>0</xdr:row>
      <xdr:rowOff>0</xdr:rowOff>
    </xdr:from>
    <xdr:to>
      <xdr:col>2</xdr:col>
      <xdr:colOff>981074</xdr:colOff>
      <xdr:row>2</xdr:row>
      <xdr:rowOff>9525</xdr:rowOff>
    </xdr:to>
    <xdr:grpSp>
      <xdr:nvGrpSpPr>
        <xdr:cNvPr id="16" name="Agrupar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F38022-4655-858D-13FC-3C9CC898E5B0}"/>
            </a:ext>
          </a:extLst>
        </xdr:cNvPr>
        <xdr:cNvGrpSpPr/>
      </xdr:nvGrpSpPr>
      <xdr:grpSpPr>
        <a:xfrm>
          <a:off x="1323974" y="0"/>
          <a:ext cx="942975" cy="771525"/>
          <a:chOff x="1323974" y="0"/>
          <a:chExt cx="942975" cy="7715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D9A1BFE-C160-4813-9065-ED7866F6E294}"/>
              </a:ext>
            </a:extLst>
          </xdr:cNvPr>
          <xdr:cNvSpPr/>
        </xdr:nvSpPr>
        <xdr:spPr>
          <a:xfrm>
            <a:off x="13239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755B9AF2-54A1-444E-9088-411C1D0BFF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677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981074</xdr:colOff>
      <xdr:row>0</xdr:row>
      <xdr:rowOff>0</xdr:rowOff>
    </xdr:from>
    <xdr:to>
      <xdr:col>3</xdr:col>
      <xdr:colOff>542924</xdr:colOff>
      <xdr:row>2</xdr:row>
      <xdr:rowOff>9525</xdr:rowOff>
    </xdr:to>
    <xdr:grpSp>
      <xdr:nvGrpSpPr>
        <xdr:cNvPr id="15" name="Agrupar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3655C7-0B5D-7E77-D98E-5E7730C5C11A}"/>
            </a:ext>
          </a:extLst>
        </xdr:cNvPr>
        <xdr:cNvGrpSpPr/>
      </xdr:nvGrpSpPr>
      <xdr:grpSpPr>
        <a:xfrm>
          <a:off x="2266949" y="0"/>
          <a:ext cx="942975" cy="771525"/>
          <a:chOff x="2266949" y="0"/>
          <a:chExt cx="942975" cy="7715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86471347-0608-49D8-A0CC-41A965D2DD73}"/>
              </a:ext>
            </a:extLst>
          </xdr:cNvPr>
          <xdr:cNvSpPr/>
        </xdr:nvSpPr>
        <xdr:spPr>
          <a:xfrm>
            <a:off x="226694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F7796713-05DF-49F9-97E5-83B7108902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097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542924</xdr:colOff>
      <xdr:row>0</xdr:row>
      <xdr:rowOff>0</xdr:rowOff>
    </xdr:from>
    <xdr:to>
      <xdr:col>4</xdr:col>
      <xdr:colOff>104774</xdr:colOff>
      <xdr:row>2</xdr:row>
      <xdr:rowOff>9525</xdr:rowOff>
    </xdr:to>
    <xdr:grpSp>
      <xdr:nvGrpSpPr>
        <xdr:cNvPr id="18" name="Agrupar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0FF96E7-8571-7257-4DBF-207BBACF0436}"/>
            </a:ext>
          </a:extLst>
        </xdr:cNvPr>
        <xdr:cNvGrpSpPr/>
      </xdr:nvGrpSpPr>
      <xdr:grpSpPr>
        <a:xfrm>
          <a:off x="3209924" y="0"/>
          <a:ext cx="942975" cy="771525"/>
          <a:chOff x="3209924" y="0"/>
          <a:chExt cx="942975" cy="771525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EE0E9401-C434-4A4E-B35F-A0B99F4417EA}"/>
              </a:ext>
            </a:extLst>
          </xdr:cNvPr>
          <xdr:cNvSpPr/>
        </xdr:nvSpPr>
        <xdr:spPr>
          <a:xfrm>
            <a:off x="3209924" y="0"/>
            <a:ext cx="94297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D73FD755-E92E-4986-AB70-96003349F2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5272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104774</xdr:colOff>
      <xdr:row>0</xdr:row>
      <xdr:rowOff>0</xdr:rowOff>
    </xdr:from>
    <xdr:to>
      <xdr:col>4</xdr:col>
      <xdr:colOff>1047749</xdr:colOff>
      <xdr:row>2</xdr:row>
      <xdr:rowOff>9525</xdr:rowOff>
    </xdr:to>
    <xdr:grpSp>
      <xdr:nvGrpSpPr>
        <xdr:cNvPr id="17" name="Agrupar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0B6DF49-A599-3B07-4C31-BCA2B48226E9}"/>
            </a:ext>
          </a:extLst>
        </xdr:cNvPr>
        <xdr:cNvGrpSpPr/>
      </xdr:nvGrpSpPr>
      <xdr:grpSpPr>
        <a:xfrm>
          <a:off x="4152899" y="0"/>
          <a:ext cx="942975" cy="771525"/>
          <a:chOff x="4152899" y="0"/>
          <a:chExt cx="942975" cy="77152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85A2CE98-99BF-4AFA-BA28-6E39EF173016}"/>
              </a:ext>
            </a:extLst>
          </xdr:cNvPr>
          <xdr:cNvSpPr/>
        </xdr:nvSpPr>
        <xdr:spPr>
          <a:xfrm>
            <a:off x="415289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DA11DC8-E121-443F-827D-E026C58599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3528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1047749</xdr:colOff>
      <xdr:row>0</xdr:row>
      <xdr:rowOff>0</xdr:rowOff>
    </xdr:from>
    <xdr:to>
      <xdr:col>5</xdr:col>
      <xdr:colOff>609599</xdr:colOff>
      <xdr:row>2</xdr:row>
      <xdr:rowOff>9525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9783F1C2-45B9-48ED-BE29-22B4E85DBB23}"/>
            </a:ext>
          </a:extLst>
        </xdr:cNvPr>
        <xdr:cNvGrpSpPr/>
      </xdr:nvGrpSpPr>
      <xdr:grpSpPr>
        <a:xfrm>
          <a:off x="5095874" y="0"/>
          <a:ext cx="942975" cy="771525"/>
          <a:chOff x="5095874" y="0"/>
          <a:chExt cx="942975" cy="771525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C909BCCE-A6A4-D0A1-5FBF-2AE32331AF39}"/>
              </a:ext>
            </a:extLst>
          </xdr:cNvPr>
          <xdr:cNvSpPr/>
        </xdr:nvSpPr>
        <xdr:spPr>
          <a:xfrm>
            <a:off x="50958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1E0B5C9-C112-3F62-3E35-A91D37D0BE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200649" y="19047"/>
            <a:ext cx="733427" cy="733427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276224</xdr:colOff>
      <xdr:row>0</xdr:row>
      <xdr:rowOff>9525</xdr:rowOff>
    </xdr:from>
    <xdr:to>
      <xdr:col>15</xdr:col>
      <xdr:colOff>133350</xdr:colOff>
      <xdr:row>2</xdr:row>
      <xdr:rowOff>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E10432A7-953C-4084-93F8-245AA23B2019}"/>
            </a:ext>
          </a:extLst>
        </xdr:cNvPr>
        <xdr:cNvSpPr txBox="1"/>
      </xdr:nvSpPr>
      <xdr:spPr>
        <a:xfrm>
          <a:off x="7534274" y="9525"/>
          <a:ext cx="4124326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200">
              <a:solidFill>
                <a:schemeClr val="bg1"/>
              </a:solidFill>
              <a:latin typeface="Century Gothic" panose="020B0502020202020204" pitchFamily="34" charset="0"/>
            </a:rPr>
            <a:t>FLUXO</a:t>
          </a:r>
          <a:r>
            <a:rPr lang="pt-BR" sz="3200" baseline="0">
              <a:solidFill>
                <a:schemeClr val="bg1"/>
              </a:solidFill>
              <a:latin typeface="Century Gothic" panose="020B0502020202020204" pitchFamily="34" charset="0"/>
            </a:rPr>
            <a:t> DE CAIXA</a:t>
          </a:r>
          <a:endParaRPr lang="pt-BR" sz="32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1</xdr:col>
      <xdr:colOff>438150</xdr:colOff>
      <xdr:row>1</xdr:row>
      <xdr:rowOff>337966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071509-3DEB-4BAC-9F2A-CE7196C05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918" t="24315" r="21233" b="25685"/>
        <a:stretch>
          <a:fillRect/>
        </a:stretch>
      </xdr:blipFill>
      <xdr:spPr>
        <a:xfrm>
          <a:off x="295275" y="57150"/>
          <a:ext cx="752475" cy="661816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714374</xdr:colOff>
      <xdr:row>0</xdr:row>
      <xdr:rowOff>0</xdr:rowOff>
    </xdr:from>
    <xdr:to>
      <xdr:col>1</xdr:col>
      <xdr:colOff>1657349</xdr:colOff>
      <xdr:row>2</xdr:row>
      <xdr:rowOff>9525</xdr:rowOff>
    </xdr:to>
    <xdr:grpSp>
      <xdr:nvGrpSpPr>
        <xdr:cNvPr id="18" name="Agrupar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0CD94B-CC2C-9C3C-1562-FF747084568E}"/>
            </a:ext>
          </a:extLst>
        </xdr:cNvPr>
        <xdr:cNvGrpSpPr/>
      </xdr:nvGrpSpPr>
      <xdr:grpSpPr>
        <a:xfrm>
          <a:off x="1323974" y="0"/>
          <a:ext cx="942975" cy="771525"/>
          <a:chOff x="1323974" y="0"/>
          <a:chExt cx="942975" cy="7715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8FE9761D-742A-46C2-9EB2-61D2F3C65868}"/>
              </a:ext>
            </a:extLst>
          </xdr:cNvPr>
          <xdr:cNvSpPr/>
        </xdr:nvSpPr>
        <xdr:spPr>
          <a:xfrm>
            <a:off x="13239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EAB57EDE-0874-47F6-903B-ABC84B62ED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677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1657349</xdr:colOff>
      <xdr:row>0</xdr:row>
      <xdr:rowOff>0</xdr:rowOff>
    </xdr:from>
    <xdr:to>
      <xdr:col>1</xdr:col>
      <xdr:colOff>2600324</xdr:colOff>
      <xdr:row>2</xdr:row>
      <xdr:rowOff>9525</xdr:rowOff>
    </xdr:to>
    <xdr:grpSp>
      <xdr:nvGrpSpPr>
        <xdr:cNvPr id="17" name="Agrupar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63A5B1-C8C0-E4A1-5BF8-9EE1B1A91D36}"/>
            </a:ext>
          </a:extLst>
        </xdr:cNvPr>
        <xdr:cNvGrpSpPr/>
      </xdr:nvGrpSpPr>
      <xdr:grpSpPr>
        <a:xfrm>
          <a:off x="2266949" y="0"/>
          <a:ext cx="942975" cy="771525"/>
          <a:chOff x="2266949" y="0"/>
          <a:chExt cx="942975" cy="7715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42355E0-C07F-4C74-BAFD-A0EBBC9BD85D}"/>
              </a:ext>
            </a:extLst>
          </xdr:cNvPr>
          <xdr:cNvSpPr/>
        </xdr:nvSpPr>
        <xdr:spPr>
          <a:xfrm>
            <a:off x="226694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805AE49A-96A2-412A-B9A5-21E54D5DB2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097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2600324</xdr:colOff>
      <xdr:row>0</xdr:row>
      <xdr:rowOff>0</xdr:rowOff>
    </xdr:from>
    <xdr:to>
      <xdr:col>2</xdr:col>
      <xdr:colOff>447674</xdr:colOff>
      <xdr:row>2</xdr:row>
      <xdr:rowOff>9525</xdr:rowOff>
    </xdr:to>
    <xdr:grpSp>
      <xdr:nvGrpSpPr>
        <xdr:cNvPr id="16" name="Agrupar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7AEC37C-A4DE-EACF-380E-E3CDE311C41E}"/>
            </a:ext>
          </a:extLst>
        </xdr:cNvPr>
        <xdr:cNvGrpSpPr/>
      </xdr:nvGrpSpPr>
      <xdr:grpSpPr>
        <a:xfrm>
          <a:off x="3209924" y="0"/>
          <a:ext cx="942975" cy="771525"/>
          <a:chOff x="3209924" y="0"/>
          <a:chExt cx="942975" cy="771525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5BA789A9-FD80-444B-BDFD-F82D7B7375D7}"/>
              </a:ext>
            </a:extLst>
          </xdr:cNvPr>
          <xdr:cNvSpPr/>
        </xdr:nvSpPr>
        <xdr:spPr>
          <a:xfrm>
            <a:off x="320992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39505BED-7384-4755-9FFD-18BFE2FBC5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5272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447674</xdr:colOff>
      <xdr:row>0</xdr:row>
      <xdr:rowOff>0</xdr:rowOff>
    </xdr:from>
    <xdr:to>
      <xdr:col>2</xdr:col>
      <xdr:colOff>1390649</xdr:colOff>
      <xdr:row>2</xdr:row>
      <xdr:rowOff>9525</xdr:rowOff>
    </xdr:to>
    <xdr:grpSp>
      <xdr:nvGrpSpPr>
        <xdr:cNvPr id="15" name="Agrupar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5567535-F564-0C84-30FC-10180D159711}"/>
            </a:ext>
          </a:extLst>
        </xdr:cNvPr>
        <xdr:cNvGrpSpPr/>
      </xdr:nvGrpSpPr>
      <xdr:grpSpPr>
        <a:xfrm>
          <a:off x="4152899" y="0"/>
          <a:ext cx="942975" cy="771525"/>
          <a:chOff x="4152899" y="0"/>
          <a:chExt cx="942975" cy="77152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F10067DC-523F-45A8-B4B7-32D2E4743AAC}"/>
              </a:ext>
            </a:extLst>
          </xdr:cNvPr>
          <xdr:cNvSpPr/>
        </xdr:nvSpPr>
        <xdr:spPr>
          <a:xfrm>
            <a:off x="4152899" y="0"/>
            <a:ext cx="94297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D2468487-C155-4689-9D08-E317A20B0C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362375" y="66598"/>
            <a:ext cx="643434" cy="643434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2</xdr:col>
      <xdr:colOff>1409699</xdr:colOff>
      <xdr:row>0</xdr:row>
      <xdr:rowOff>0</xdr:rowOff>
    </xdr:from>
    <xdr:to>
      <xdr:col>3</xdr:col>
      <xdr:colOff>466724</xdr:colOff>
      <xdr:row>2</xdr:row>
      <xdr:rowOff>9525</xdr:rowOff>
    </xdr:to>
    <xdr:grpSp>
      <xdr:nvGrpSpPr>
        <xdr:cNvPr id="11" name="Agrupar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857CCAF-8D1D-4901-B3D1-B733E99731D9}"/>
            </a:ext>
          </a:extLst>
        </xdr:cNvPr>
        <xdr:cNvGrpSpPr/>
      </xdr:nvGrpSpPr>
      <xdr:grpSpPr>
        <a:xfrm>
          <a:off x="5114924" y="0"/>
          <a:ext cx="942975" cy="771525"/>
          <a:chOff x="5095874" y="0"/>
          <a:chExt cx="942975" cy="771525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60E55D30-27A6-F4DF-F060-3336A0F4A897}"/>
              </a:ext>
            </a:extLst>
          </xdr:cNvPr>
          <xdr:cNvSpPr/>
        </xdr:nvSpPr>
        <xdr:spPr>
          <a:xfrm>
            <a:off x="50958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25FAFA89-25DF-A911-8D18-241CA2AF89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200649" y="19047"/>
            <a:ext cx="733427" cy="733427"/>
          </a:xfrm>
          <a:prstGeom prst="rect">
            <a:avLst/>
          </a:prstGeom>
        </xdr:spPr>
      </xdr:pic>
    </xdr:grpSp>
    <xdr:clientData/>
  </xdr:twoCellAnchor>
  <xdr:twoCellAnchor editAs="absolute">
    <xdr:from>
      <xdr:col>6</xdr:col>
      <xdr:colOff>114299</xdr:colOff>
      <xdr:row>0</xdr:row>
      <xdr:rowOff>9525</xdr:rowOff>
    </xdr:from>
    <xdr:to>
      <xdr:col>12</xdr:col>
      <xdr:colOff>581025</xdr:colOff>
      <xdr:row>2</xdr:row>
      <xdr:rowOff>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28E87188-FD9F-46D5-A884-AC0C65172DDF}"/>
            </a:ext>
          </a:extLst>
        </xdr:cNvPr>
        <xdr:cNvSpPr txBox="1"/>
      </xdr:nvSpPr>
      <xdr:spPr>
        <a:xfrm>
          <a:off x="7534274" y="9525"/>
          <a:ext cx="4124326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200">
              <a:solidFill>
                <a:schemeClr val="bg1"/>
              </a:solidFill>
              <a:latin typeface="Century Gothic" panose="020B0502020202020204" pitchFamily="34" charset="0"/>
            </a:rPr>
            <a:t>DRE SIMPLIFICADA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1</xdr:col>
      <xdr:colOff>438150</xdr:colOff>
      <xdr:row>1</xdr:row>
      <xdr:rowOff>337966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E20998-881A-4DB1-8BC7-6E658C037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918" t="24315" r="21233" b="25685"/>
        <a:stretch>
          <a:fillRect/>
        </a:stretch>
      </xdr:blipFill>
      <xdr:spPr>
        <a:xfrm>
          <a:off x="295275" y="57150"/>
          <a:ext cx="752475" cy="661816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714374</xdr:colOff>
      <xdr:row>0</xdr:row>
      <xdr:rowOff>0</xdr:rowOff>
    </xdr:from>
    <xdr:to>
      <xdr:col>2</xdr:col>
      <xdr:colOff>942974</xdr:colOff>
      <xdr:row>2</xdr:row>
      <xdr:rowOff>9525</xdr:rowOff>
    </xdr:to>
    <xdr:grpSp>
      <xdr:nvGrpSpPr>
        <xdr:cNvPr id="14" name="Agrupar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81F762-A9A7-A6C6-D839-E369716EE56D}"/>
            </a:ext>
          </a:extLst>
        </xdr:cNvPr>
        <xdr:cNvGrpSpPr/>
      </xdr:nvGrpSpPr>
      <xdr:grpSpPr>
        <a:xfrm>
          <a:off x="1323974" y="0"/>
          <a:ext cx="942975" cy="771525"/>
          <a:chOff x="1323974" y="0"/>
          <a:chExt cx="942975" cy="77152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0A5C9BA7-554E-41BD-8802-C2925B11FC1C}"/>
              </a:ext>
            </a:extLst>
          </xdr:cNvPr>
          <xdr:cNvSpPr/>
        </xdr:nvSpPr>
        <xdr:spPr>
          <a:xfrm>
            <a:off x="13239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C49F02F5-D15E-4A68-99A3-1FAFC63C07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677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942974</xdr:colOff>
      <xdr:row>0</xdr:row>
      <xdr:rowOff>0</xdr:rowOff>
    </xdr:from>
    <xdr:to>
      <xdr:col>3</xdr:col>
      <xdr:colOff>28574</xdr:colOff>
      <xdr:row>2</xdr:row>
      <xdr:rowOff>9525</xdr:rowOff>
    </xdr:to>
    <xdr:grpSp>
      <xdr:nvGrpSpPr>
        <xdr:cNvPr id="16" name="Agrupar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96730FF-D754-94CC-0F68-E9EBB2A00BBB}"/>
            </a:ext>
          </a:extLst>
        </xdr:cNvPr>
        <xdr:cNvGrpSpPr/>
      </xdr:nvGrpSpPr>
      <xdr:grpSpPr>
        <a:xfrm>
          <a:off x="2266949" y="0"/>
          <a:ext cx="942975" cy="771525"/>
          <a:chOff x="2266949" y="0"/>
          <a:chExt cx="942975" cy="7715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DD7243A0-E887-4BE3-9750-127D2C1FA310}"/>
              </a:ext>
            </a:extLst>
          </xdr:cNvPr>
          <xdr:cNvSpPr/>
        </xdr:nvSpPr>
        <xdr:spPr>
          <a:xfrm>
            <a:off x="226694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02F226C3-B408-4117-A8FB-9DAABF326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0975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28574</xdr:colOff>
      <xdr:row>0</xdr:row>
      <xdr:rowOff>0</xdr:rowOff>
    </xdr:from>
    <xdr:to>
      <xdr:col>3</xdr:col>
      <xdr:colOff>971549</xdr:colOff>
      <xdr:row>2</xdr:row>
      <xdr:rowOff>9525</xdr:rowOff>
    </xdr:to>
    <xdr:grpSp>
      <xdr:nvGrpSpPr>
        <xdr:cNvPr id="17" name="Agrupar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CE586D-879F-B5D1-C214-8D88FFC8A42D}"/>
            </a:ext>
          </a:extLst>
        </xdr:cNvPr>
        <xdr:cNvGrpSpPr/>
      </xdr:nvGrpSpPr>
      <xdr:grpSpPr>
        <a:xfrm>
          <a:off x="3209924" y="0"/>
          <a:ext cx="942975" cy="771525"/>
          <a:chOff x="3209924" y="0"/>
          <a:chExt cx="942975" cy="771525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9C0216E5-F631-467F-84F9-A2BA449EC112}"/>
              </a:ext>
            </a:extLst>
          </xdr:cNvPr>
          <xdr:cNvSpPr/>
        </xdr:nvSpPr>
        <xdr:spPr>
          <a:xfrm>
            <a:off x="320992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5E69F402-D436-4F0B-AA02-B20D726615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352725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971549</xdr:colOff>
      <xdr:row>0</xdr:row>
      <xdr:rowOff>0</xdr:rowOff>
    </xdr:from>
    <xdr:to>
      <xdr:col>4</xdr:col>
      <xdr:colOff>571499</xdr:colOff>
      <xdr:row>2</xdr:row>
      <xdr:rowOff>9525</xdr:rowOff>
    </xdr:to>
    <xdr:grpSp>
      <xdr:nvGrpSpPr>
        <xdr:cNvPr id="18" name="Agrupar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74C263B-6910-0B18-0C32-024924A3CA7F}"/>
            </a:ext>
          </a:extLst>
        </xdr:cNvPr>
        <xdr:cNvGrpSpPr/>
      </xdr:nvGrpSpPr>
      <xdr:grpSpPr>
        <a:xfrm>
          <a:off x="4152899" y="0"/>
          <a:ext cx="942975" cy="771525"/>
          <a:chOff x="4152899" y="0"/>
          <a:chExt cx="942975" cy="77152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77E030E2-BBE2-487D-A757-836703CD52CE}"/>
              </a:ext>
            </a:extLst>
          </xdr:cNvPr>
          <xdr:cNvSpPr/>
        </xdr:nvSpPr>
        <xdr:spPr>
          <a:xfrm>
            <a:off x="4152899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B40F67A0-6FE9-4C1A-AE23-A42703F93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BEBA8EAE-BF5A-486C-A8C5-ECC9F3942E4B}">
                <a14:imgProps xmlns:a14="http://schemas.microsoft.com/office/drawing/2010/main">
                  <a14:imgLayer r:embed="rId14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295700" y="66598"/>
            <a:ext cx="643434" cy="643434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571499</xdr:colOff>
      <xdr:row>0</xdr:row>
      <xdr:rowOff>0</xdr:rowOff>
    </xdr:from>
    <xdr:to>
      <xdr:col>5</xdr:col>
      <xdr:colOff>561974</xdr:colOff>
      <xdr:row>2</xdr:row>
      <xdr:rowOff>9525</xdr:rowOff>
    </xdr:to>
    <xdr:grpSp>
      <xdr:nvGrpSpPr>
        <xdr:cNvPr id="15" name="Agrupar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BB43340-1168-02F2-8D23-732D285C8C8D}"/>
            </a:ext>
          </a:extLst>
        </xdr:cNvPr>
        <xdr:cNvGrpSpPr/>
      </xdr:nvGrpSpPr>
      <xdr:grpSpPr>
        <a:xfrm>
          <a:off x="5095874" y="0"/>
          <a:ext cx="942975" cy="771525"/>
          <a:chOff x="5095874" y="0"/>
          <a:chExt cx="942975" cy="771525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2D4EA378-20FF-406E-B889-6041D71A77DF}"/>
              </a:ext>
            </a:extLst>
          </xdr:cNvPr>
          <xdr:cNvSpPr/>
        </xdr:nvSpPr>
        <xdr:spPr>
          <a:xfrm>
            <a:off x="5095874" y="0"/>
            <a:ext cx="942975" cy="77152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DDE5219A-A0C5-4FB9-B060-2EEF0EF716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brightnessContrast brigh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200649" y="19047"/>
            <a:ext cx="733427" cy="733427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152399</xdr:colOff>
      <xdr:row>0</xdr:row>
      <xdr:rowOff>9525</xdr:rowOff>
    </xdr:from>
    <xdr:to>
      <xdr:col>11</xdr:col>
      <xdr:colOff>466725</xdr:colOff>
      <xdr:row>2</xdr:row>
      <xdr:rowOff>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700F441-73EC-4F80-851A-62F36103A3AD}"/>
            </a:ext>
          </a:extLst>
        </xdr:cNvPr>
        <xdr:cNvSpPr txBox="1"/>
      </xdr:nvSpPr>
      <xdr:spPr>
        <a:xfrm>
          <a:off x="7534274" y="9525"/>
          <a:ext cx="4124326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200" baseline="0">
              <a:solidFill>
                <a:schemeClr val="bg1"/>
              </a:solidFill>
              <a:latin typeface="Century Gothic" panose="020B0502020202020204" pitchFamily="34" charset="0"/>
            </a:rPr>
            <a:t>CÁLCULOS</a:t>
          </a:r>
          <a:endParaRPr lang="pt-BR" sz="32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9524</xdr:colOff>
      <xdr:row>0</xdr:row>
      <xdr:rowOff>0</xdr:rowOff>
    </xdr:from>
    <xdr:ext cx="2476501" cy="7620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C9A3CF1-E921-3D79-60EA-D79B2C6A38B0}"/>
            </a:ext>
          </a:extLst>
        </xdr:cNvPr>
        <xdr:cNvSpPr txBox="1"/>
      </xdr:nvSpPr>
      <xdr:spPr>
        <a:xfrm>
          <a:off x="1838324" y="0"/>
          <a:ext cx="2476501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pt-BR" sz="2000">
              <a:solidFill>
                <a:schemeClr val="bg1"/>
              </a:solidFill>
              <a:latin typeface="Century Gothic" panose="020B0502020202020204" pitchFamily="34" charset="0"/>
            </a:rPr>
            <a:t>Gestão Financeira</a:t>
          </a:r>
          <a:r>
            <a:rPr lang="pt-BR" sz="2000" baseline="0">
              <a:solidFill>
                <a:schemeClr val="bg1"/>
              </a:solidFill>
              <a:latin typeface="Century Gothic" panose="020B0502020202020204" pitchFamily="34" charset="0"/>
            </a:rPr>
            <a:t> Empresarial</a:t>
          </a:r>
          <a:endParaRPr lang="pt-BR" sz="20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oneCellAnchor>
  <xdr:twoCellAnchor editAs="oneCell">
    <xdr:from>
      <xdr:col>1</xdr:col>
      <xdr:colOff>53975</xdr:colOff>
      <xdr:row>0</xdr:row>
      <xdr:rowOff>57150</xdr:rowOff>
    </xdr:from>
    <xdr:to>
      <xdr:col>2</xdr:col>
      <xdr:colOff>136882</xdr:colOff>
      <xdr:row>1</xdr:row>
      <xdr:rowOff>350418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9240534-55E4-42AB-D32F-FFD3E8F3F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0415" t="24395" r="21280" b="26470"/>
        <a:stretch>
          <a:fillRect/>
        </a:stretch>
      </xdr:blipFill>
      <xdr:spPr>
        <a:xfrm>
          <a:off x="190046" y="57150"/>
          <a:ext cx="797282" cy="678804"/>
        </a:xfrm>
        <a:prstGeom prst="rect">
          <a:avLst/>
        </a:prstGeom>
      </xdr:spPr>
    </xdr:pic>
    <xdr:clientData/>
  </xdr:twoCellAnchor>
  <xdr:twoCellAnchor>
    <xdr:from>
      <xdr:col>2</xdr:col>
      <xdr:colOff>405433</xdr:colOff>
      <xdr:row>0</xdr:row>
      <xdr:rowOff>88491</xdr:rowOff>
    </xdr:from>
    <xdr:to>
      <xdr:col>2</xdr:col>
      <xdr:colOff>451152</xdr:colOff>
      <xdr:row>1</xdr:row>
      <xdr:rowOff>298041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6963321-B615-CA7F-2A4F-EBAFAFD5A39B}"/>
            </a:ext>
          </a:extLst>
        </xdr:cNvPr>
        <xdr:cNvSpPr/>
      </xdr:nvSpPr>
      <xdr:spPr>
        <a:xfrm>
          <a:off x="1255879" y="88491"/>
          <a:ext cx="45719" cy="5950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58963</xdr:colOff>
      <xdr:row>0</xdr:row>
      <xdr:rowOff>17235</xdr:rowOff>
    </xdr:from>
    <xdr:to>
      <xdr:col>10</xdr:col>
      <xdr:colOff>39914</xdr:colOff>
      <xdr:row>2</xdr:row>
      <xdr:rowOff>7710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63257631-61D6-C31C-991A-923D8A57BFF1}"/>
            </a:ext>
          </a:extLst>
        </xdr:cNvPr>
        <xdr:cNvGrpSpPr/>
      </xdr:nvGrpSpPr>
      <xdr:grpSpPr>
        <a:xfrm>
          <a:off x="7939767" y="17235"/>
          <a:ext cx="1817915" cy="761546"/>
          <a:chOff x="4791074" y="28574"/>
          <a:chExt cx="1809751" cy="752475"/>
        </a:xfrm>
      </xdr:grpSpPr>
      <xdr:sp macro="" textlink="Cálculos!H8">
        <xdr:nvSpPr>
          <xdr:cNvPr id="8" name="CaixaDeTexto 7">
            <a:extLst>
              <a:ext uri="{FF2B5EF4-FFF2-40B4-BE49-F238E27FC236}">
                <a16:creationId xmlns:a16="http://schemas.microsoft.com/office/drawing/2014/main" id="{B9BAE837-0A01-69B7-170B-22F4C080BA64}"/>
              </a:ext>
            </a:extLst>
          </xdr:cNvPr>
          <xdr:cNvSpPr txBox="1"/>
        </xdr:nvSpPr>
        <xdr:spPr>
          <a:xfrm>
            <a:off x="4791075" y="371474"/>
            <a:ext cx="1801092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13D399A0-44AF-4BDE-BEC1-E08722294747}" type="TxLink">
              <a:rPr lang="en-US" sz="1600" b="0" i="0" u="none" strike="noStrike">
                <a:solidFill>
                  <a:schemeClr val="bg1"/>
                </a:solidFill>
                <a:latin typeface="Aptos Narrow"/>
              </a:rPr>
              <a:pPr algn="ctr"/>
              <a:t> R$ 8.792.611,00 </a:t>
            </a:fld>
            <a:endParaRPr lang="pt-BR" sz="320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517FADA9-FD8F-6E6B-D494-EE5883C1365C}"/>
              </a:ext>
            </a:extLst>
          </xdr:cNvPr>
          <xdr:cNvSpPr txBox="1"/>
        </xdr:nvSpPr>
        <xdr:spPr>
          <a:xfrm>
            <a:off x="4791074" y="28574"/>
            <a:ext cx="1809751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2000" b="0" i="0" u="none" strike="noStrike">
                <a:solidFill>
                  <a:schemeClr val="accent1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</a:rPr>
              <a:t>Receita Total</a:t>
            </a:r>
          </a:p>
        </xdr:txBody>
      </xdr:sp>
    </xdr:grpSp>
    <xdr:clientData/>
  </xdr:twoCellAnchor>
  <xdr:twoCellAnchor>
    <xdr:from>
      <xdr:col>10</xdr:col>
      <xdr:colOff>437923</xdr:colOff>
      <xdr:row>0</xdr:row>
      <xdr:rowOff>17235</xdr:rowOff>
    </xdr:from>
    <xdr:to>
      <xdr:col>14</xdr:col>
      <xdr:colOff>485549</xdr:colOff>
      <xdr:row>2</xdr:row>
      <xdr:rowOff>7710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3EE686B2-359B-A4BC-4D2E-2583D7C854F7}"/>
            </a:ext>
          </a:extLst>
        </xdr:cNvPr>
        <xdr:cNvGrpSpPr/>
      </xdr:nvGrpSpPr>
      <xdr:grpSpPr>
        <a:xfrm>
          <a:off x="10155691" y="17235"/>
          <a:ext cx="2496912" cy="761546"/>
          <a:chOff x="6981824" y="28574"/>
          <a:chExt cx="2486026" cy="752475"/>
        </a:xfrm>
      </xdr:grpSpPr>
      <xdr:sp macro="" textlink="Cálculos!I8">
        <xdr:nvSpPr>
          <xdr:cNvPr id="10" name="CaixaDeTexto 9">
            <a:extLst>
              <a:ext uri="{FF2B5EF4-FFF2-40B4-BE49-F238E27FC236}">
                <a16:creationId xmlns:a16="http://schemas.microsoft.com/office/drawing/2014/main" id="{DD857E76-72F3-AA22-2C43-6F3595A1AF5A}"/>
              </a:ext>
            </a:extLst>
          </xdr:cNvPr>
          <xdr:cNvSpPr txBox="1"/>
        </xdr:nvSpPr>
        <xdr:spPr>
          <a:xfrm>
            <a:off x="6981825" y="371474"/>
            <a:ext cx="2486025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DE787F5E-880C-4FBA-B0FA-D40ED74FA340}" type="TxLink">
              <a:rPr lang="en-US" sz="16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R$ 6.211.534,00 </a:t>
            </a:fld>
            <a:endParaRPr lang="pt-BR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2BDE501-9773-9168-7A4A-402F94744DD6}"/>
              </a:ext>
            </a:extLst>
          </xdr:cNvPr>
          <xdr:cNvSpPr txBox="1"/>
        </xdr:nvSpPr>
        <xdr:spPr>
          <a:xfrm>
            <a:off x="6981824" y="28574"/>
            <a:ext cx="2476501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r>
              <a:rPr lang="en-US" sz="2000" b="0" i="0" u="none" strike="noStrike">
                <a:solidFill>
                  <a:schemeClr val="accent1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Custos + Despesas</a:t>
            </a:r>
          </a:p>
        </xdr:txBody>
      </xdr:sp>
    </xdr:grpSp>
    <xdr:clientData/>
  </xdr:twoCellAnchor>
  <xdr:twoCellAnchor>
    <xdr:from>
      <xdr:col>15</xdr:col>
      <xdr:colOff>271235</xdr:colOff>
      <xdr:row>0</xdr:row>
      <xdr:rowOff>26760</xdr:rowOff>
    </xdr:from>
    <xdr:to>
      <xdr:col>18</xdr:col>
      <xdr:colOff>299810</xdr:colOff>
      <xdr:row>2</xdr:row>
      <xdr:rowOff>17235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644995A-3B5D-38B8-257C-C26D023360E7}"/>
            </a:ext>
          </a:extLst>
        </xdr:cNvPr>
        <xdr:cNvGrpSpPr/>
      </xdr:nvGrpSpPr>
      <xdr:grpSpPr>
        <a:xfrm>
          <a:off x="13050610" y="26760"/>
          <a:ext cx="1865539" cy="761546"/>
          <a:chOff x="9877424" y="38099"/>
          <a:chExt cx="1857375" cy="752475"/>
        </a:xfrm>
      </xdr:grpSpPr>
      <xdr:sp macro="" textlink="Cálculos!J8">
        <xdr:nvSpPr>
          <xdr:cNvPr id="12" name="CaixaDeTexto 11">
            <a:extLst>
              <a:ext uri="{FF2B5EF4-FFF2-40B4-BE49-F238E27FC236}">
                <a16:creationId xmlns:a16="http://schemas.microsoft.com/office/drawing/2014/main" id="{C94F45A2-D41B-AA24-7D54-EC905D7B2D29}"/>
              </a:ext>
            </a:extLst>
          </xdr:cNvPr>
          <xdr:cNvSpPr txBox="1"/>
        </xdr:nvSpPr>
        <xdr:spPr>
          <a:xfrm>
            <a:off x="9877424" y="380999"/>
            <a:ext cx="1857375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83C18AD0-9EDF-47DC-A5C4-2A628DB78A98}" type="TxLink">
              <a:rPr lang="en-US" sz="16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R$ 2.636.261,40 </a:t>
            </a:fld>
            <a:endParaRPr lang="pt-BR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12005398-E4B1-D73D-5D23-63D33690CBB2}"/>
              </a:ext>
            </a:extLst>
          </xdr:cNvPr>
          <xdr:cNvSpPr txBox="1"/>
        </xdr:nvSpPr>
        <xdr:spPr>
          <a:xfrm>
            <a:off x="9877424" y="38099"/>
            <a:ext cx="1838326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r>
              <a:rPr lang="en-US" sz="2000" b="0" i="0" u="none" strike="noStrike">
                <a:solidFill>
                  <a:schemeClr val="accent1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Lucro Líquido</a:t>
            </a:r>
          </a:p>
        </xdr:txBody>
      </xdr:sp>
    </xdr:grpSp>
    <xdr:clientData/>
  </xdr:twoCellAnchor>
  <xdr:twoCellAnchor>
    <xdr:from>
      <xdr:col>19</xdr:col>
      <xdr:colOff>82776</xdr:colOff>
      <xdr:row>0</xdr:row>
      <xdr:rowOff>17235</xdr:rowOff>
    </xdr:from>
    <xdr:to>
      <xdr:col>22</xdr:col>
      <xdr:colOff>495073</xdr:colOff>
      <xdr:row>2</xdr:row>
      <xdr:rowOff>7710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82028733-446C-AA2C-06FA-028A8BB720DB}"/>
            </a:ext>
          </a:extLst>
        </xdr:cNvPr>
        <xdr:cNvGrpSpPr/>
      </xdr:nvGrpSpPr>
      <xdr:grpSpPr>
        <a:xfrm>
          <a:off x="15311437" y="17235"/>
          <a:ext cx="2249261" cy="761546"/>
          <a:chOff x="12134849" y="28574"/>
          <a:chExt cx="2238376" cy="752475"/>
        </a:xfrm>
      </xdr:grpSpPr>
      <xdr:sp macro="" textlink="Cálculos!K8">
        <xdr:nvSpPr>
          <xdr:cNvPr id="14" name="CaixaDeTexto 13">
            <a:extLst>
              <a:ext uri="{FF2B5EF4-FFF2-40B4-BE49-F238E27FC236}">
                <a16:creationId xmlns:a16="http://schemas.microsoft.com/office/drawing/2014/main" id="{4F752D7D-5019-3A8A-9B71-8EA5189A497C}"/>
              </a:ext>
            </a:extLst>
          </xdr:cNvPr>
          <xdr:cNvSpPr txBox="1"/>
        </xdr:nvSpPr>
        <xdr:spPr>
          <a:xfrm>
            <a:off x="12134850" y="371474"/>
            <a:ext cx="2228850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00980C79-56E4-4227-9B6C-8F0FA219312F}" type="TxLink">
              <a:rPr lang="en-US" sz="16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30%</a:t>
            </a:fld>
            <a:endParaRPr lang="pt-BR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92BA787E-486C-C606-93A9-4168150ED403}"/>
              </a:ext>
            </a:extLst>
          </xdr:cNvPr>
          <xdr:cNvSpPr txBox="1"/>
        </xdr:nvSpPr>
        <xdr:spPr>
          <a:xfrm>
            <a:off x="12134849" y="28574"/>
            <a:ext cx="2238376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r>
              <a:rPr lang="en-US" sz="2000" b="0" i="0" u="none" strike="noStrike">
                <a:solidFill>
                  <a:schemeClr val="accent1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Margem Líquida</a:t>
            </a:r>
          </a:p>
        </xdr:txBody>
      </xdr:sp>
    </xdr:grpSp>
    <xdr:clientData/>
  </xdr:twoCellAnchor>
  <xdr:twoCellAnchor>
    <xdr:from>
      <xdr:col>23</xdr:col>
      <xdr:colOff>280759</xdr:colOff>
      <xdr:row>0</xdr:row>
      <xdr:rowOff>17235</xdr:rowOff>
    </xdr:from>
    <xdr:to>
      <xdr:col>27</xdr:col>
      <xdr:colOff>595084</xdr:colOff>
      <xdr:row>2</xdr:row>
      <xdr:rowOff>7710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EF826D7-960C-879B-C704-963AF2737A0E}"/>
            </a:ext>
          </a:extLst>
        </xdr:cNvPr>
        <xdr:cNvGrpSpPr/>
      </xdr:nvGrpSpPr>
      <xdr:grpSpPr>
        <a:xfrm>
          <a:off x="17958705" y="17235"/>
          <a:ext cx="2763611" cy="761546"/>
          <a:chOff x="14763749" y="28574"/>
          <a:chExt cx="2752725" cy="752475"/>
        </a:xfrm>
      </xdr:grpSpPr>
      <xdr:sp macro="" textlink="Cálculos!L8">
        <xdr:nvSpPr>
          <xdr:cNvPr id="16" name="CaixaDeTexto 15">
            <a:extLst>
              <a:ext uri="{FF2B5EF4-FFF2-40B4-BE49-F238E27FC236}">
                <a16:creationId xmlns:a16="http://schemas.microsoft.com/office/drawing/2014/main" id="{8D810E2D-846D-1D6B-BE96-9882DE139E54}"/>
              </a:ext>
            </a:extLst>
          </xdr:cNvPr>
          <xdr:cNvSpPr txBox="1"/>
        </xdr:nvSpPr>
        <xdr:spPr>
          <a:xfrm>
            <a:off x="14763749" y="371474"/>
            <a:ext cx="2752725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4E36B54B-7BB8-4037-B70A-897DD0E537B2}" type="TxLink">
              <a:rPr lang="en-US" sz="16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ctr"/>
              <a:t> R$ 3.057.402,00 </a:t>
            </a:fld>
            <a:endParaRPr lang="pt-BR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23B6E555-5CDD-1C14-4132-C2DC1F8752D0}"/>
              </a:ext>
            </a:extLst>
          </xdr:cNvPr>
          <xdr:cNvSpPr txBox="1"/>
        </xdr:nvSpPr>
        <xdr:spPr>
          <a:xfrm>
            <a:off x="14763749" y="28574"/>
            <a:ext cx="2733676" cy="4095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r>
              <a:rPr lang="en-US" sz="2000" b="0" i="0" u="none" strike="noStrike">
                <a:solidFill>
                  <a:schemeClr val="accent1">
                    <a:lumMod val="40000"/>
                    <a:lumOff val="6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Saldo Final de Caixa</a:t>
            </a:r>
          </a:p>
        </xdr:txBody>
      </xdr:sp>
    </xdr:grpSp>
    <xdr:clientData/>
  </xdr:twoCellAnchor>
  <xdr:twoCellAnchor>
    <xdr:from>
      <xdr:col>2</xdr:col>
      <xdr:colOff>1723572</xdr:colOff>
      <xdr:row>2</xdr:row>
      <xdr:rowOff>28575</xdr:rowOff>
    </xdr:from>
    <xdr:to>
      <xdr:col>16</xdr:col>
      <xdr:colOff>582705</xdr:colOff>
      <xdr:row>22</xdr:row>
      <xdr:rowOff>44824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8CAFED3A-9A16-4E74-8E18-E66B7FA98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338334</xdr:colOff>
      <xdr:row>23</xdr:row>
      <xdr:rowOff>1550</xdr:rowOff>
    </xdr:from>
    <xdr:to>
      <xdr:col>28</xdr:col>
      <xdr:colOff>246564</xdr:colOff>
      <xdr:row>41</xdr:row>
      <xdr:rowOff>67499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890261A-8561-4087-B878-3A6BF3769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177211</xdr:colOff>
      <xdr:row>2</xdr:row>
      <xdr:rowOff>33227</xdr:rowOff>
    </xdr:from>
    <xdr:to>
      <xdr:col>28</xdr:col>
      <xdr:colOff>251570</xdr:colOff>
      <xdr:row>22</xdr:row>
      <xdr:rowOff>44304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799962AF-B33D-4474-898F-A0A1EEAA6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28576</xdr:colOff>
      <xdr:row>2</xdr:row>
      <xdr:rowOff>34017</xdr:rowOff>
    </xdr:from>
    <xdr:to>
      <xdr:col>2</xdr:col>
      <xdr:colOff>1604852</xdr:colOff>
      <xdr:row>22</xdr:row>
      <xdr:rowOff>56696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Mês">
              <a:extLst>
                <a:ext uri="{FF2B5EF4-FFF2-40B4-BE49-F238E27FC236}">
                  <a16:creationId xmlns:a16="http://schemas.microsoft.com/office/drawing/2014/main" id="{49CE6346-B2AC-4E4F-A699-A13441328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6" y="805088"/>
              <a:ext cx="2426722" cy="38780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dilton Silva" refreshedDate="46016.722946064816" createdVersion="8" refreshedVersion="8" minRefreshableVersion="3" recordCount="12" xr:uid="{75B893A0-6178-4735-8976-F8D98CB0E8E1}">
  <cacheSource type="worksheet">
    <worksheetSource name="Tabela11"/>
  </cacheSource>
  <cacheFields count="6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Entradas" numFmtId="44">
      <sharedItems containsSemiMixedTypes="0" containsString="0" containsNumber="1" containsInteger="1" minValue="116398" maxValue="1565367"/>
    </cacheField>
    <cacheField name="Saídas" numFmtId="44">
      <sharedItems containsSemiMixedTypes="0" containsString="0" containsNumber="1" containsInteger="1" minValue="431719" maxValue="798622"/>
    </cacheField>
    <cacheField name="Saldo" numFmtId="44">
      <sharedItems containsSemiMixedTypes="0" containsString="0" containsNumber="1" containsInteger="1" minValue="360060" maxValue="3057402"/>
    </cacheField>
    <cacheField name="Custo Operacional" numFmtId="44">
      <sharedItems containsSemiMixedTypes="0" containsString="0" containsNumber="1" containsInteger="1" minValue="115900" maxValue="476546"/>
    </cacheField>
    <cacheField name="Custo Administrativo" numFmtId="44">
      <sharedItems containsSemiMixedTypes="0" containsString="0" containsNumber="1" containsInteger="1" minValue="295654" maxValue="319734"/>
    </cacheField>
  </cacheFields>
  <extLst>
    <ext xmlns:x14="http://schemas.microsoft.com/office/spreadsheetml/2009/9/main" uri="{725AE2AE-9491-48be-B2B4-4EB974FC3084}">
      <x14:pivotCacheDefinition pivotCacheId="12558118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565367"/>
    <n v="554584"/>
    <n v="1010783"/>
    <n v="245200"/>
    <n v="297043"/>
  </r>
  <r>
    <x v="1"/>
    <n v="164357"/>
    <n v="798622"/>
    <n v="376518"/>
    <n v="476546"/>
    <n v="319734"/>
  </r>
  <r>
    <x v="2"/>
    <n v="536200"/>
    <n v="552658"/>
    <n v="360060"/>
    <n v="230700"/>
    <n v="317724"/>
  </r>
  <r>
    <x v="3"/>
    <n v="928680"/>
    <n v="431719"/>
    <n v="857021"/>
    <n v="115900"/>
    <n v="315576"/>
  </r>
  <r>
    <x v="4"/>
    <n v="116398"/>
    <n v="460430"/>
    <n v="512989"/>
    <n v="144400"/>
    <n v="315977"/>
  </r>
  <r>
    <x v="5"/>
    <n v="959500"/>
    <n v="463069"/>
    <n v="1009420"/>
    <n v="138060"/>
    <n v="300577"/>
  </r>
  <r>
    <x v="6"/>
    <n v="447520"/>
    <n v="482515"/>
    <n v="974425"/>
    <n v="168100"/>
    <n v="314181"/>
  </r>
  <r>
    <x v="7"/>
    <n v="959500"/>
    <n v="495164"/>
    <n v="1438761"/>
    <n v="191070"/>
    <n v="303852"/>
  </r>
  <r>
    <x v="8"/>
    <n v="928740"/>
    <n v="459223"/>
    <n v="1908278"/>
    <n v="157767"/>
    <n v="301453"/>
  </r>
  <r>
    <x v="9"/>
    <n v="447760"/>
    <n v="454104"/>
    <n v="1901934"/>
    <n v="136448"/>
    <n v="317422"/>
  </r>
  <r>
    <x v="10"/>
    <n v="959740"/>
    <n v="532475"/>
    <n v="2329199"/>
    <n v="236587"/>
    <n v="295654"/>
  </r>
  <r>
    <x v="11"/>
    <n v="1300000"/>
    <n v="571797"/>
    <n v="3057402"/>
    <n v="256687"/>
    <n v="3148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538C2-31B4-4EDE-A3B6-E8146F31EF0F}" name="Tabela dinâmica18" cacheId="58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66:P69" firstHeaderRow="1" firstDataRow="2" firstDataCol="1"/>
  <pivotFields count="6"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4" showAll="0"/>
    <pivotField numFmtId="44" showAll="0"/>
    <pivotField numFmtId="44" showAll="0"/>
    <pivotField dataField="1" numFmtId="44" showAll="0"/>
    <pivotField dataField="1" numFmtId="44" showAll="0"/>
  </pivotFields>
  <rowFields count="1">
    <field x="-2"/>
  </rowFields>
  <rowItems count="2">
    <i>
      <x/>
    </i>
    <i i="1">
      <x v="1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2">
    <dataField name="Soma de Custo Operacional" fld="4" baseField="0" baseItem="0" numFmtId="44"/>
    <dataField name="Soma de Custo Administrativo" fld="5" baseField="0" baseItem="0" numFmtId="44"/>
  </dataFields>
  <chartFormats count="1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633CE-D0A5-4D86-AA60-3EB7D3372167}" name="Tabela dinâmica15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J46:K59" firstHeaderRow="1" firstDataRow="1" firstDataCol="1"/>
  <pivotFields count="6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4" showAll="0"/>
    <pivotField numFmtId="44" showAll="0"/>
    <pivotField dataField="1" numFmtId="44" showAll="0"/>
    <pivotField numFmtId="44" showAll="0"/>
    <pivotField numFmtId="4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Saldo" fld="3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BD214-2C3C-4482-AAC5-3995829B9CBF}" name="Tabela dinâmica14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46:E59" firstHeaderRow="0" firstDataRow="1" firstDataCol="1"/>
  <pivotFields count="6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  <pivotField dataField="1" numFmtId="44" showAll="0"/>
    <pivotField numFmtId="44" showAll="0"/>
    <pivotField numFmtId="44" showAll="0"/>
    <pivotField numFmtId="4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ntradas" fld="1" baseField="0" baseItem="0" numFmtId="44"/>
    <dataField name="Soma de Saídas" fld="2" baseField="0" baseItem="0" numFmtId="4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D0A4B-3A46-434C-A903-3DD7F1301957}" name="Tabela dinâmica22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ês">
  <location ref="B24:G37" firstHeaderRow="0" firstDataRow="1" firstDataCol="1"/>
  <pivotFields count="6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Custo Operacional" fld="4" baseField="0" baseItem="0" numFmtId="44"/>
    <dataField name="Soma de Custo Administrativo" fld="5" baseField="0" baseItem="0" numFmtId="44"/>
    <dataField name="Soma de Entradas" fld="1" baseField="0" baseItem="0" numFmtId="44"/>
    <dataField name="Soma de Saídas" fld="2" baseField="0" baseItem="0" numFmtId="44"/>
    <dataField name="Soma de Saldo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186D199-9297-4B35-879E-EA5C37CE6B17}" sourceName="Mês">
  <pivotTables>
    <pivotTable tabId="3" name="Tabela dinâmica14"/>
    <pivotTable tabId="3" name="Tabela dinâmica15"/>
    <pivotTable tabId="3" name="Tabela dinâmica18"/>
    <pivotTable tabId="4" name="Tabela dinâmica22"/>
  </pivotTables>
  <data>
    <tabular pivotCacheId="1255811843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312854A8-BF8C-4B6C-B03C-30BA160191FA}" cache="SegmentaçãodeDados_Mês" caption="Mê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03D50-D2C2-4EF4-8CB7-F28668D71447}" name="Tabela6" displayName="Tabela6" ref="B5:O28" totalsRowShown="0" headerRowDxfId="51" dataDxfId="65" tableBorderDxfId="64" dataCellStyle="Moeda">
  <autoFilter ref="B5:O28" xr:uid="{93903D50-D2C2-4EF4-8CB7-F28668D71447}"/>
  <tableColumns count="14">
    <tableColumn id="1" xr3:uid="{4D075494-9A8E-4D82-82AA-611CE1D602CB}" name="Descrição "/>
    <tableColumn id="2" xr3:uid="{16590606-6EFD-4D6C-B403-137021C8CFBA}" name="Janeiro" dataDxfId="63" dataCellStyle="Moeda"/>
    <tableColumn id="3" xr3:uid="{16C23BC6-4F80-4F3F-B883-60D6B9B718F1}" name="Fevereiro" dataDxfId="62" dataCellStyle="Moeda"/>
    <tableColumn id="4" xr3:uid="{03181920-9446-4B7E-9B6B-9FD27D9595F9}" name="Março" dataDxfId="61" dataCellStyle="Moeda"/>
    <tableColumn id="5" xr3:uid="{AA2D0F51-84D1-41A0-9776-4AD886A39880}" name="Abril" dataDxfId="60" dataCellStyle="Moeda"/>
    <tableColumn id="6" xr3:uid="{E18C4EE2-BB10-4C94-A1F4-E49E15CE4FB6}" name="Maio" dataDxfId="59" dataCellStyle="Moeda"/>
    <tableColumn id="7" xr3:uid="{E4903107-2FA7-49C2-8F87-B54CA4C378B9}" name="Junho" dataDxfId="58" dataCellStyle="Moeda"/>
    <tableColumn id="8" xr3:uid="{10BBDE47-6D3D-4743-908E-4643F544BB87}" name="Julho" dataDxfId="57" dataCellStyle="Moeda"/>
    <tableColumn id="9" xr3:uid="{410EAED6-961A-4A13-96EF-74E1F37FFE9A}" name="Agosto" dataDxfId="56" dataCellStyle="Moeda"/>
    <tableColumn id="10" xr3:uid="{1D78B526-18E6-4063-9B2F-FD1389A994DF}" name="Setembro" dataDxfId="55" dataCellStyle="Moeda"/>
    <tableColumn id="11" xr3:uid="{2681B0B7-D309-47C1-B6C0-0C0A48FEFE1D}" name="Outubro" dataDxfId="54" dataCellStyle="Moeda"/>
    <tableColumn id="12" xr3:uid="{A19599B2-178E-439F-ADB5-748DA7D87ED7}" name="Novembro" dataDxfId="53" dataCellStyle="Moeda"/>
    <tableColumn id="13" xr3:uid="{48A17E2D-63F8-4023-84CC-7ABDFE0A9984}" name="Dezembro" dataDxfId="52" dataCellStyle="Moeda"/>
    <tableColumn id="14" xr3:uid="{F9FBE599-75B5-4C36-B445-02F95257271B}" name="Total Anu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0E9EA-9750-4820-8FBB-87F835EC8634}" name="Tabela2" displayName="Tabela2" ref="B5:O20" totalsRowShown="0" headerRowDxfId="34" dataDxfId="50" tableBorderDxfId="49" dataCellStyle="Moeda">
  <autoFilter ref="B5:O20" xr:uid="{6B10E9EA-9750-4820-8FBB-87F835EC8634}"/>
  <tableColumns count="14">
    <tableColumn id="1" xr3:uid="{C65DCD1D-C6BA-4A3B-9D7B-9E80FE2A0306}" name="  " dataDxfId="48"/>
    <tableColumn id="2" xr3:uid="{0BEC5CCF-DEF7-4537-AEFE-6DF19A88AC5B}" name="Janeiro" dataDxfId="47" dataCellStyle="Moeda"/>
    <tableColumn id="3" xr3:uid="{1842311A-48D7-4F86-B25F-963A8A7A036A}" name="Fevereiro" dataDxfId="46" dataCellStyle="Moeda"/>
    <tableColumn id="4" xr3:uid="{AB72A26C-EF8C-4EE5-9827-18A829149E5B}" name="Março" dataDxfId="45" dataCellStyle="Moeda"/>
    <tableColumn id="5" xr3:uid="{884636C7-CD3F-4292-A5E1-FE93002BD681}" name="Abril" dataDxfId="44" dataCellStyle="Moeda"/>
    <tableColumn id="6" xr3:uid="{C296C25E-AE27-4CFF-9082-069B76FFEAC1}" name="Maio" dataDxfId="43" dataCellStyle="Moeda"/>
    <tableColumn id="7" xr3:uid="{A2F8F10F-1932-4E65-8F67-710DDCA8BC68}" name="Junho" dataDxfId="42" dataCellStyle="Moeda"/>
    <tableColumn id="8" xr3:uid="{604887F5-1866-44ED-B71C-1A9D5907B8E7}" name="Julho" dataDxfId="41" dataCellStyle="Moeda"/>
    <tableColumn id="9" xr3:uid="{E9DA97D8-57C2-4379-ACD7-4C68156EB1EF}" name="Agosto" dataDxfId="40" dataCellStyle="Moeda"/>
    <tableColumn id="10" xr3:uid="{B4C4207E-F9A9-4DBA-895D-2314B925DC6F}" name="Setembro" dataDxfId="39" dataCellStyle="Moeda"/>
    <tableColumn id="11" xr3:uid="{3B6DAF22-F56D-4890-90E7-CD3DD0A9AA45}" name="Outubro" dataDxfId="38" dataCellStyle="Moeda"/>
    <tableColumn id="12" xr3:uid="{2E3DFE82-1A68-4DC4-993E-A0E214EDA820}" name="Novembro" dataDxfId="37" dataCellStyle="Moeda"/>
    <tableColumn id="13" xr3:uid="{FB435BD0-F2C4-49CB-BB15-83CA9E501D8A}" name="Dezembro" dataDxfId="36" dataCellStyle="Moeda"/>
    <tableColumn id="14" xr3:uid="{771E5EDE-1DF8-4DA5-9C5A-B48015B18684}" name="Total Anual" dataDxfId="3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E323A2-7388-4B37-85E9-F7C26D502A85}" name="Tabela3" displayName="Tabela3" ref="B5:E18" totalsRowShown="0" headerRowDxfId="28" headerRowBorderDxfId="32" tableBorderDxfId="33">
  <autoFilter ref="B5:E18" xr:uid="{A3E323A2-7388-4B37-85E9-F7C26D502A85}"/>
  <tableColumns count="4">
    <tableColumn id="1" xr3:uid="{18918A7D-6BDB-48EF-8B8A-53FBFC2FE11B}" name="Mês"/>
    <tableColumn id="2" xr3:uid="{D24A5F32-29A7-4EB1-9E01-167B487EE010}" name="Entradas" dataDxfId="31"/>
    <tableColumn id="3" xr3:uid="{2368837B-D9E6-4B55-ACAB-F0B91DCB9A67}" name="Saídas" dataDxfId="30"/>
    <tableColumn id="4" xr3:uid="{2088D842-A00E-4999-92D0-607E668E4891}" name="Saldo" dataDxfId="29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F3B8AA-5D3A-47D8-9AC2-AC55119F61DE}" name="Tabela5" displayName="Tabela5" ref="B5:C17" totalsRowShown="0" headerRowBorderDxfId="26" tableBorderDxfId="27" totalsRowBorderDxfId="25">
  <autoFilter ref="B5:C17" xr:uid="{AAF3B8AA-5D3A-47D8-9AC2-AC55119F61DE}"/>
  <tableColumns count="2">
    <tableColumn id="1" xr3:uid="{B86F7CA3-9F94-4331-8811-0DF6E5A240F1}" name=" " dataDxfId="23"/>
    <tableColumn id="2" xr3:uid="{FC933334-30BB-4F0A-AA2B-9A288A053A24}" name=" Valores" dataDxfId="24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D1FE8C-441C-4650-900D-6AD362B4502F}" name="Tabela7" displayName="Tabela7" ref="B7:F8" totalsRowShown="0" headerRowDxfId="21">
  <autoFilter ref="B7:F8" xr:uid="{ADD1FE8C-441C-4650-900D-6AD362B4502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9BB2679-3A2E-4970-A532-6FC53C793DD7}" name="Receita Total" dataDxfId="20" dataCellStyle="Moeda">
      <calculatedColumnFormula>DRE_Simplificada!C6</calculatedColumnFormula>
    </tableColumn>
    <tableColumn id="2" xr3:uid="{39B05D9E-516F-4CEC-891D-905723260AD3}" name="Custos + Despesas" dataDxfId="19" dataCellStyle="Moeda">
      <calculatedColumnFormula>DRE_Simplificada!C7+DRE_Simplificada!C9</calculatedColumnFormula>
    </tableColumn>
    <tableColumn id="3" xr3:uid="{CF1F0B7F-B987-46C7-89B7-756E481F4EA7}" name="Lucro Líquido" dataDxfId="17" dataCellStyle="Moeda">
      <calculatedColumnFormula>DRE_Simplificada!C17</calculatedColumnFormula>
    </tableColumn>
    <tableColumn id="4" xr3:uid="{A1474160-D17C-498C-945D-E08DD87AFFB3}" name="Margem Líquida" dataDxfId="18" dataCellStyle="Porcentagem">
      <calculatedColumnFormula>IFERROR(D8/B8,"")</calculatedColumnFormula>
    </tableColumn>
    <tableColumn id="5" xr3:uid="{FDB85F80-C067-4290-869A-59EC38FACD41}" name="Saldo Final de Caixa" dataDxfId="22">
      <calculatedColumnFormula>Fluxo_de_Caixa!E18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322C98-7FB3-4FED-9DF8-3443765650C2}" name="Tabela8" displayName="Tabela8" ref="B14:D26" totalsRowShown="0">
  <autoFilter ref="B14:D26" xr:uid="{2F322C98-7FB3-4FED-9DF8-3443765650C2}"/>
  <tableColumns count="3">
    <tableColumn id="1" xr3:uid="{41B812D0-B965-499E-B10D-F9F45ADEC18D}" name="Mês" dataDxfId="16"/>
    <tableColumn id="2" xr3:uid="{BC44CC28-18FD-49E6-8044-65B0D17AB24C}" name="Entradas" dataDxfId="15">
      <calculatedColumnFormula>Fluxo_de_Caixa!C6</calculatedColumnFormula>
    </tableColumn>
    <tableColumn id="3" xr3:uid="{76E8D40D-4E32-4310-A371-CF7EB50ECDDD}" name="Saídas" dataDxfId="14">
      <calculatedColumnFormula>Fluxo_de_Caixa!D6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557D95-5831-4F2C-9F2B-6739B0F9FD39}" name="Tabela9" displayName="Tabela9" ref="H14:I26" totalsRowShown="0">
  <autoFilter ref="H14:I26" xr:uid="{92557D95-5831-4F2C-9F2B-6739B0F9FD39}"/>
  <tableColumns count="2">
    <tableColumn id="1" xr3:uid="{D2F2280D-B8AE-4010-B1C1-E6FE65297523}" name="Mês" dataDxfId="13"/>
    <tableColumn id="2" xr3:uid="{967654A3-E9D5-4A73-B523-E7E6EBF404A9}" name="Saldo" dataDxfId="12">
      <calculatedColumnFormula>Fluxo_de_Caixa!E6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078944-78D9-4621-B593-33F4C406B2D1}" name="Tabela10" displayName="Tabela10" ref="N14:P26" totalsRowShown="0">
  <autoFilter ref="N14:P26" xr:uid="{BF078944-78D9-4621-B593-33F4C406B2D1}"/>
  <tableColumns count="3">
    <tableColumn id="1" xr3:uid="{3A3543F0-2D26-409E-84B6-BA8C41042FC2}" name="Mês" dataDxfId="11"/>
    <tableColumn id="2" xr3:uid="{B8BD163A-474A-4A99-A259-88F9C4ED5577}" name="Custo Operacional" dataDxfId="10"/>
    <tableColumn id="3" xr3:uid="{E63C1A59-803D-41FE-A663-B053CF56DA1C}" name="Custo Administrativo" dataDxfId="9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618AA7-1BE2-48B5-A326-28EC51C35BEA}" name="Tabela11" displayName="Tabela11" ref="C30:H42" totalsRowShown="0" headerRowDxfId="0" headerRowBorderDxfId="7" tableBorderDxfId="8">
  <autoFilter ref="C30:H42" xr:uid="{A4618AA7-1BE2-48B5-A326-28EC51C35BEA}"/>
  <tableColumns count="6">
    <tableColumn id="1" xr3:uid="{FFDCE107-AD20-45FF-99A7-5B843C6EC6E1}" name="Mês" dataDxfId="6"/>
    <tableColumn id="2" xr3:uid="{28450FFD-4459-4D34-9EA0-44E1A2514151}" name="Entradas" dataDxfId="5">
      <calculatedColumnFormula>C15</calculatedColumnFormula>
    </tableColumn>
    <tableColumn id="3" xr3:uid="{4A8A8AED-F9F4-48E4-AF92-22CA5B558260}" name="Saídas" dataDxfId="4">
      <calculatedColumnFormula>D15</calculatedColumnFormula>
    </tableColumn>
    <tableColumn id="4" xr3:uid="{D439EEDF-A700-4772-9FAE-DA608C50F707}" name="Saldo" dataDxfId="3">
      <calculatedColumnFormula>I15</calculatedColumnFormula>
    </tableColumn>
    <tableColumn id="5" xr3:uid="{5DEEC418-1DBF-44E9-8B5A-EF212DBDDC6C}" name="Custo Operacional" dataDxfId="2">
      <calculatedColumnFormula>O15</calculatedColumnFormula>
    </tableColumn>
    <tableColumn id="6" xr3:uid="{35B4837E-D6D7-4BBE-8DAF-53500E4F4B28}" name="Custo Administrativo" dataDxfId="1">
      <calculatedColumnFormula>P15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drawing" Target="../drawings/drawing5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29E4-89F1-4816-AD9C-22239E844DBD}">
  <dimension ref="A1:AZ28"/>
  <sheetViews>
    <sheetView showGridLines="0" workbookViewId="0">
      <selection activeCell="K34" sqref="K34"/>
    </sheetView>
  </sheetViews>
  <sheetFormatPr defaultRowHeight="15" x14ac:dyDescent="0.25"/>
  <cols>
    <col min="2" max="2" width="28.42578125" bestFit="1" customWidth="1"/>
    <col min="3" max="12" width="14.42578125" bestFit="1" customWidth="1"/>
    <col min="13" max="13" width="15" bestFit="1" customWidth="1"/>
    <col min="14" max="14" width="14.85546875" bestFit="1" customWidth="1"/>
    <col min="15" max="15" width="19.85546875" bestFit="1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5" spans="1:52" ht="24.75" customHeight="1" x14ac:dyDescent="0.25">
      <c r="B5" s="12" t="s">
        <v>0</v>
      </c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  <c r="M5" s="13" t="s">
        <v>11</v>
      </c>
      <c r="N5" s="13" t="s">
        <v>12</v>
      </c>
      <c r="O5" s="14" t="s">
        <v>13</v>
      </c>
    </row>
    <row r="6" spans="1:52" x14ac:dyDescent="0.25">
      <c r="B6" s="11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  <c r="O6" s="10"/>
    </row>
    <row r="7" spans="1:52" x14ac:dyDescent="0.25">
      <c r="B7" s="2" t="s">
        <v>15</v>
      </c>
      <c r="C7" s="3">
        <v>3500</v>
      </c>
      <c r="D7" s="3">
        <v>3500</v>
      </c>
      <c r="E7" s="3">
        <v>3500</v>
      </c>
      <c r="F7" s="3">
        <v>3500</v>
      </c>
      <c r="G7" s="3">
        <v>3500</v>
      </c>
      <c r="H7" s="3">
        <v>3500</v>
      </c>
      <c r="I7" s="3">
        <v>3500</v>
      </c>
      <c r="J7" s="3">
        <v>3500</v>
      </c>
      <c r="K7" s="3">
        <v>3500</v>
      </c>
      <c r="L7" s="3">
        <v>3500</v>
      </c>
      <c r="M7" s="3">
        <v>3500</v>
      </c>
      <c r="N7" s="4">
        <v>3500</v>
      </c>
      <c r="O7" s="5">
        <f t="shared" ref="O7:O18" si="0">SUM(C7:N7)</f>
        <v>42000</v>
      </c>
    </row>
    <row r="8" spans="1:52" x14ac:dyDescent="0.25">
      <c r="B8" s="2" t="s">
        <v>16</v>
      </c>
      <c r="C8" s="3">
        <v>12000</v>
      </c>
      <c r="D8" s="3">
        <v>12000</v>
      </c>
      <c r="E8" s="3">
        <v>12000</v>
      </c>
      <c r="F8" s="3">
        <v>12000</v>
      </c>
      <c r="G8" s="3">
        <v>12000</v>
      </c>
      <c r="H8" s="3">
        <v>12000</v>
      </c>
      <c r="I8" s="3">
        <v>12000</v>
      </c>
      <c r="J8" s="3">
        <v>12000</v>
      </c>
      <c r="K8" s="3">
        <v>12000</v>
      </c>
      <c r="L8" s="3">
        <v>12000</v>
      </c>
      <c r="M8" s="3">
        <v>12000</v>
      </c>
      <c r="N8" s="4">
        <v>12000</v>
      </c>
      <c r="O8" s="5">
        <f t="shared" si="0"/>
        <v>144000</v>
      </c>
    </row>
    <row r="9" spans="1:52" x14ac:dyDescent="0.25">
      <c r="B9" s="2" t="s">
        <v>17</v>
      </c>
      <c r="C9" s="3">
        <v>2700</v>
      </c>
      <c r="D9" s="3">
        <v>2700</v>
      </c>
      <c r="E9" s="3">
        <v>2700</v>
      </c>
      <c r="F9" s="3">
        <v>2700</v>
      </c>
      <c r="G9" s="3">
        <v>2700</v>
      </c>
      <c r="H9" s="3">
        <v>2700</v>
      </c>
      <c r="I9" s="3">
        <v>2700</v>
      </c>
      <c r="J9" s="3">
        <v>2700</v>
      </c>
      <c r="K9" s="3">
        <v>2700</v>
      </c>
      <c r="L9" s="3">
        <v>2700</v>
      </c>
      <c r="M9" s="3">
        <v>2700</v>
      </c>
      <c r="N9" s="4">
        <v>2700</v>
      </c>
      <c r="O9" s="5">
        <f t="shared" si="0"/>
        <v>32400</v>
      </c>
    </row>
    <row r="10" spans="1:52" x14ac:dyDescent="0.25">
      <c r="B10" s="2" t="s">
        <v>18</v>
      </c>
      <c r="C10" s="3">
        <v>4000</v>
      </c>
      <c r="D10" s="3">
        <v>1000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4">
        <v>0</v>
      </c>
      <c r="O10" s="5">
        <f t="shared" si="0"/>
        <v>5000</v>
      </c>
    </row>
    <row r="11" spans="1:52" x14ac:dyDescent="0.25">
      <c r="B11" s="2" t="s">
        <v>19</v>
      </c>
      <c r="C11" s="3">
        <v>120000</v>
      </c>
      <c r="D11" s="3">
        <v>30000</v>
      </c>
      <c r="E11" s="3">
        <v>120000</v>
      </c>
      <c r="F11" s="3">
        <v>4000</v>
      </c>
      <c r="G11" s="3">
        <v>32000</v>
      </c>
      <c r="H11" s="3">
        <v>28000</v>
      </c>
      <c r="I11" s="3">
        <v>56000</v>
      </c>
      <c r="J11" s="3">
        <v>76000</v>
      </c>
      <c r="K11" s="3">
        <v>45000</v>
      </c>
      <c r="L11" s="3">
        <v>36700</v>
      </c>
      <c r="M11" s="3">
        <v>123000</v>
      </c>
      <c r="N11" s="4">
        <v>143000</v>
      </c>
      <c r="O11" s="5">
        <f t="shared" si="0"/>
        <v>813700</v>
      </c>
    </row>
    <row r="12" spans="1:52" x14ac:dyDescent="0.25">
      <c r="B12" s="2" t="s">
        <v>20</v>
      </c>
      <c r="C12" s="3">
        <v>23000</v>
      </c>
      <c r="D12" s="3">
        <v>3000</v>
      </c>
      <c r="E12" s="3">
        <v>12500</v>
      </c>
      <c r="F12" s="3">
        <v>13700</v>
      </c>
      <c r="G12" s="3">
        <v>14200</v>
      </c>
      <c r="H12" s="3">
        <v>11860</v>
      </c>
      <c r="I12" s="3">
        <v>13900</v>
      </c>
      <c r="J12" s="3">
        <v>16870</v>
      </c>
      <c r="K12" s="3">
        <v>14567</v>
      </c>
      <c r="L12" s="3">
        <v>1548</v>
      </c>
      <c r="M12" s="3">
        <v>15387</v>
      </c>
      <c r="N12" s="4">
        <v>15487</v>
      </c>
      <c r="O12" s="5">
        <f t="shared" si="0"/>
        <v>156019</v>
      </c>
    </row>
    <row r="13" spans="1:52" x14ac:dyDescent="0.25">
      <c r="B13" s="2" t="s">
        <v>21</v>
      </c>
      <c r="C13" s="3">
        <v>2000</v>
      </c>
      <c r="D13" s="3">
        <v>2000</v>
      </c>
      <c r="E13" s="3">
        <v>2000</v>
      </c>
      <c r="F13" s="3">
        <v>2000</v>
      </c>
      <c r="G13" s="3">
        <v>2000</v>
      </c>
      <c r="H13" s="3">
        <v>2000</v>
      </c>
      <c r="I13" s="3">
        <v>2000</v>
      </c>
      <c r="J13" s="3">
        <v>2000</v>
      </c>
      <c r="K13" s="3">
        <v>2000</v>
      </c>
      <c r="L13" s="3">
        <v>2000</v>
      </c>
      <c r="M13" s="3">
        <v>2000</v>
      </c>
      <c r="N13" s="4">
        <v>2000</v>
      </c>
      <c r="O13" s="5">
        <f t="shared" si="0"/>
        <v>24000</v>
      </c>
    </row>
    <row r="14" spans="1:52" x14ac:dyDescent="0.25">
      <c r="B14" s="2" t="s">
        <v>22</v>
      </c>
      <c r="C14" s="3">
        <v>45000</v>
      </c>
      <c r="D14" s="3">
        <v>45000</v>
      </c>
      <c r="E14" s="3">
        <v>45000</v>
      </c>
      <c r="F14" s="3">
        <v>45000</v>
      </c>
      <c r="G14" s="3">
        <v>45000</v>
      </c>
      <c r="H14" s="3">
        <v>45000</v>
      </c>
      <c r="I14" s="3">
        <v>45000</v>
      </c>
      <c r="J14" s="3">
        <v>45000</v>
      </c>
      <c r="K14" s="3">
        <v>45000</v>
      </c>
      <c r="L14" s="3">
        <v>45000</v>
      </c>
      <c r="M14" s="3">
        <v>45000</v>
      </c>
      <c r="N14" s="4">
        <v>45000</v>
      </c>
      <c r="O14" s="5">
        <f t="shared" si="0"/>
        <v>540000</v>
      </c>
    </row>
    <row r="15" spans="1:52" x14ac:dyDescent="0.25">
      <c r="B15" s="2" t="s">
        <v>23</v>
      </c>
      <c r="C15" s="3">
        <v>20000</v>
      </c>
      <c r="D15" s="3">
        <v>20000</v>
      </c>
      <c r="E15" s="3">
        <v>20000</v>
      </c>
      <c r="F15" s="3">
        <v>20000</v>
      </c>
      <c r="G15" s="3">
        <v>20000</v>
      </c>
      <c r="H15" s="3">
        <v>20000</v>
      </c>
      <c r="I15" s="3">
        <v>20000</v>
      </c>
      <c r="J15" s="3">
        <v>20000</v>
      </c>
      <c r="K15" s="3">
        <v>20000</v>
      </c>
      <c r="L15" s="3">
        <v>20000</v>
      </c>
      <c r="M15" s="3">
        <v>20000</v>
      </c>
      <c r="N15" s="4">
        <v>20000</v>
      </c>
      <c r="O15" s="5">
        <f t="shared" si="0"/>
        <v>240000</v>
      </c>
    </row>
    <row r="16" spans="1:52" x14ac:dyDescent="0.25">
      <c r="B16" s="2" t="s">
        <v>24</v>
      </c>
      <c r="C16" s="3">
        <v>12000</v>
      </c>
      <c r="D16" s="3">
        <v>356346</v>
      </c>
      <c r="E16" s="3">
        <v>12000</v>
      </c>
      <c r="F16" s="3">
        <v>12000</v>
      </c>
      <c r="G16" s="3">
        <v>12000</v>
      </c>
      <c r="H16" s="3">
        <v>12000</v>
      </c>
      <c r="I16" s="3">
        <v>12000</v>
      </c>
      <c r="J16" s="3">
        <v>12000</v>
      </c>
      <c r="K16" s="3">
        <v>12000</v>
      </c>
      <c r="L16" s="3">
        <v>12000</v>
      </c>
      <c r="M16" s="3">
        <v>12000</v>
      </c>
      <c r="N16" s="4">
        <v>12000</v>
      </c>
      <c r="O16" s="5">
        <f t="shared" si="0"/>
        <v>488346</v>
      </c>
    </row>
    <row r="17" spans="2:15" x14ac:dyDescent="0.25">
      <c r="B17" s="2" t="s">
        <v>25</v>
      </c>
      <c r="C17" s="3">
        <v>1000</v>
      </c>
      <c r="D17" s="3">
        <v>1000</v>
      </c>
      <c r="E17" s="3">
        <v>1000</v>
      </c>
      <c r="F17" s="3">
        <v>1000</v>
      </c>
      <c r="G17" s="3">
        <v>1000</v>
      </c>
      <c r="H17" s="3">
        <v>1000</v>
      </c>
      <c r="I17" s="3">
        <v>1000</v>
      </c>
      <c r="J17" s="3">
        <v>1000</v>
      </c>
      <c r="K17" s="3">
        <v>1000</v>
      </c>
      <c r="L17" s="3">
        <v>1000</v>
      </c>
      <c r="M17" s="3">
        <v>1000</v>
      </c>
      <c r="N17" s="4">
        <v>1000</v>
      </c>
      <c r="O17" s="5">
        <f t="shared" si="0"/>
        <v>12000</v>
      </c>
    </row>
    <row r="18" spans="2:15" x14ac:dyDescent="0.25">
      <c r="B18" s="15" t="s">
        <v>26</v>
      </c>
      <c r="C18" s="16">
        <f>SUM(C7:C17)</f>
        <v>245200</v>
      </c>
      <c r="D18" s="16">
        <f t="shared" ref="D18:N18" si="1">SUM(D7:D17)</f>
        <v>476546</v>
      </c>
      <c r="E18" s="16">
        <f t="shared" si="1"/>
        <v>230700</v>
      </c>
      <c r="F18" s="16">
        <f t="shared" si="1"/>
        <v>115900</v>
      </c>
      <c r="G18" s="16">
        <f t="shared" si="1"/>
        <v>144400</v>
      </c>
      <c r="H18" s="16">
        <f t="shared" si="1"/>
        <v>138060</v>
      </c>
      <c r="I18" s="16">
        <f t="shared" si="1"/>
        <v>168100</v>
      </c>
      <c r="J18" s="16">
        <f t="shared" si="1"/>
        <v>191070</v>
      </c>
      <c r="K18" s="16">
        <f t="shared" si="1"/>
        <v>157767</v>
      </c>
      <c r="L18" s="16">
        <f t="shared" si="1"/>
        <v>136448</v>
      </c>
      <c r="M18" s="16">
        <f t="shared" si="1"/>
        <v>236587</v>
      </c>
      <c r="N18" s="17">
        <f t="shared" si="1"/>
        <v>256687</v>
      </c>
      <c r="O18" s="18">
        <f t="shared" si="0"/>
        <v>2497465</v>
      </c>
    </row>
    <row r="19" spans="2:15" x14ac:dyDescent="0.25">
      <c r="B19" s="11" t="s">
        <v>27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20"/>
    </row>
    <row r="20" spans="2:15" x14ac:dyDescent="0.25">
      <c r="B20" s="2" t="s">
        <v>28</v>
      </c>
      <c r="C20" s="3">
        <v>1143</v>
      </c>
      <c r="D20" s="3">
        <v>4534</v>
      </c>
      <c r="E20" s="3">
        <v>324</v>
      </c>
      <c r="F20" s="3">
        <v>342</v>
      </c>
      <c r="G20" s="3">
        <v>535</v>
      </c>
      <c r="H20" s="3">
        <v>124</v>
      </c>
      <c r="I20" s="3">
        <v>68</v>
      </c>
      <c r="J20" s="3">
        <v>3400</v>
      </c>
      <c r="K20" s="3">
        <v>0</v>
      </c>
      <c r="L20" s="3">
        <v>0</v>
      </c>
      <c r="M20" s="3">
        <v>0</v>
      </c>
      <c r="N20" s="4">
        <v>534</v>
      </c>
      <c r="O20" s="5">
        <f>SUM(C20:N20)</f>
        <v>11004</v>
      </c>
    </row>
    <row r="21" spans="2:15" x14ac:dyDescent="0.25">
      <c r="B21" s="2" t="s">
        <v>29</v>
      </c>
      <c r="C21" s="3">
        <v>45000</v>
      </c>
      <c r="D21" s="3">
        <v>64000</v>
      </c>
      <c r="E21" s="3">
        <v>64000</v>
      </c>
      <c r="F21" s="3">
        <v>64000</v>
      </c>
      <c r="G21" s="3">
        <v>64000</v>
      </c>
      <c r="H21" s="3">
        <v>45000</v>
      </c>
      <c r="I21" s="3">
        <v>64000</v>
      </c>
      <c r="J21" s="3">
        <v>45000</v>
      </c>
      <c r="K21" s="3">
        <v>45000</v>
      </c>
      <c r="L21" s="3">
        <v>64000</v>
      </c>
      <c r="M21" s="3">
        <v>45000</v>
      </c>
      <c r="N21" s="4">
        <v>64000</v>
      </c>
      <c r="O21" s="5">
        <f>SUM(C21:N21)</f>
        <v>673000</v>
      </c>
    </row>
    <row r="22" spans="2:15" x14ac:dyDescent="0.25">
      <c r="B22" s="2" t="s">
        <v>30</v>
      </c>
      <c r="C22" s="3">
        <v>250000</v>
      </c>
      <c r="D22" s="3">
        <v>250000</v>
      </c>
      <c r="E22" s="3">
        <v>250000</v>
      </c>
      <c r="F22" s="3">
        <v>250000</v>
      </c>
      <c r="G22" s="3">
        <v>250000</v>
      </c>
      <c r="H22" s="3">
        <v>250000</v>
      </c>
      <c r="I22" s="3">
        <v>250000</v>
      </c>
      <c r="J22" s="3">
        <v>250000</v>
      </c>
      <c r="K22" s="3">
        <v>250000</v>
      </c>
      <c r="L22" s="3">
        <v>250000</v>
      </c>
      <c r="M22" s="3">
        <v>250000</v>
      </c>
      <c r="N22" s="4">
        <v>250000</v>
      </c>
      <c r="O22" s="5">
        <f>SUM(C22:N22)</f>
        <v>3000000</v>
      </c>
    </row>
    <row r="23" spans="2:15" x14ac:dyDescent="0.25">
      <c r="B23" s="2" t="s">
        <v>31</v>
      </c>
      <c r="C23" s="3">
        <v>900</v>
      </c>
      <c r="D23" s="3">
        <v>1200</v>
      </c>
      <c r="E23" s="3">
        <v>3400</v>
      </c>
      <c r="F23" s="3">
        <v>1234</v>
      </c>
      <c r="G23" s="3">
        <v>1442</v>
      </c>
      <c r="H23" s="3">
        <v>5453</v>
      </c>
      <c r="I23" s="3">
        <v>113</v>
      </c>
      <c r="J23" s="3">
        <v>5452</v>
      </c>
      <c r="K23" s="3">
        <v>6453</v>
      </c>
      <c r="L23" s="3">
        <v>3422</v>
      </c>
      <c r="M23" s="3">
        <v>654</v>
      </c>
      <c r="N23" s="4">
        <v>342</v>
      </c>
      <c r="O23" s="5">
        <f>SUM(C23:N23)</f>
        <v>30065</v>
      </c>
    </row>
    <row r="24" spans="2:15" x14ac:dyDescent="0.25">
      <c r="B24" s="15" t="s">
        <v>26</v>
      </c>
      <c r="C24" s="16">
        <f>SUM(C20:C23)</f>
        <v>297043</v>
      </c>
      <c r="D24" s="16">
        <f t="shared" ref="D24:O24" si="2">SUM(D20:D23)</f>
        <v>319734</v>
      </c>
      <c r="E24" s="16">
        <f t="shared" si="2"/>
        <v>317724</v>
      </c>
      <c r="F24" s="16">
        <f t="shared" si="2"/>
        <v>315576</v>
      </c>
      <c r="G24" s="16">
        <f t="shared" si="2"/>
        <v>315977</v>
      </c>
      <c r="H24" s="16">
        <f t="shared" si="2"/>
        <v>300577</v>
      </c>
      <c r="I24" s="16">
        <f t="shared" si="2"/>
        <v>314181</v>
      </c>
      <c r="J24" s="16">
        <f t="shared" si="2"/>
        <v>303852</v>
      </c>
      <c r="K24" s="16">
        <f t="shared" si="2"/>
        <v>301453</v>
      </c>
      <c r="L24" s="16">
        <f t="shared" si="2"/>
        <v>317422</v>
      </c>
      <c r="M24" s="16">
        <f t="shared" si="2"/>
        <v>295654</v>
      </c>
      <c r="N24" s="17">
        <f t="shared" si="2"/>
        <v>314876</v>
      </c>
      <c r="O24" s="17">
        <f t="shared" si="2"/>
        <v>3714069</v>
      </c>
    </row>
    <row r="25" spans="2:15" x14ac:dyDescent="0.25">
      <c r="B25" s="11" t="s">
        <v>32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  <c r="O25" s="20"/>
    </row>
    <row r="26" spans="2:15" x14ac:dyDescent="0.25">
      <c r="B26" s="2" t="s">
        <v>33</v>
      </c>
      <c r="C26" s="3">
        <v>12341</v>
      </c>
      <c r="D26" s="3">
        <v>2342</v>
      </c>
      <c r="E26" s="3">
        <v>4234</v>
      </c>
      <c r="F26" s="3">
        <v>243</v>
      </c>
      <c r="G26" s="3">
        <v>53</v>
      </c>
      <c r="H26" s="3">
        <v>24432</v>
      </c>
      <c r="I26" s="3">
        <v>234</v>
      </c>
      <c r="J26" s="3">
        <v>242</v>
      </c>
      <c r="K26" s="3">
        <v>3</v>
      </c>
      <c r="L26" s="3">
        <v>234</v>
      </c>
      <c r="M26" s="3">
        <v>234</v>
      </c>
      <c r="N26" s="4">
        <v>234</v>
      </c>
      <c r="O26" s="5">
        <f>SUM(C26:N26)</f>
        <v>44826</v>
      </c>
    </row>
    <row r="27" spans="2:15" x14ac:dyDescent="0.25">
      <c r="B27" s="15" t="s">
        <v>26</v>
      </c>
      <c r="C27" s="16">
        <f t="shared" ref="C27:O27" si="3">SUM(C26)</f>
        <v>12341</v>
      </c>
      <c r="D27" s="16">
        <f t="shared" si="3"/>
        <v>2342</v>
      </c>
      <c r="E27" s="16">
        <f t="shared" si="3"/>
        <v>4234</v>
      </c>
      <c r="F27" s="16">
        <f t="shared" si="3"/>
        <v>243</v>
      </c>
      <c r="G27" s="16">
        <f t="shared" si="3"/>
        <v>53</v>
      </c>
      <c r="H27" s="16">
        <f t="shared" si="3"/>
        <v>24432</v>
      </c>
      <c r="I27" s="16">
        <f t="shared" si="3"/>
        <v>234</v>
      </c>
      <c r="J27" s="16">
        <f t="shared" si="3"/>
        <v>242</v>
      </c>
      <c r="K27" s="16">
        <f t="shared" si="3"/>
        <v>3</v>
      </c>
      <c r="L27" s="16">
        <f t="shared" si="3"/>
        <v>234</v>
      </c>
      <c r="M27" s="16">
        <f t="shared" si="3"/>
        <v>234</v>
      </c>
      <c r="N27" s="17">
        <f t="shared" si="3"/>
        <v>234</v>
      </c>
      <c r="O27" s="18">
        <f t="shared" si="3"/>
        <v>44826</v>
      </c>
    </row>
    <row r="28" spans="2:15" ht="17.25" x14ac:dyDescent="0.3">
      <c r="B28" s="21" t="s">
        <v>34</v>
      </c>
      <c r="C28" s="22">
        <f>C18+C24+C27</f>
        <v>554584</v>
      </c>
      <c r="D28" s="22">
        <f>D27+D24+D18</f>
        <v>798622</v>
      </c>
      <c r="E28" s="22">
        <f t="shared" ref="E28:N28" si="4">E27+E24+E18</f>
        <v>552658</v>
      </c>
      <c r="F28" s="22">
        <f t="shared" si="4"/>
        <v>431719</v>
      </c>
      <c r="G28" s="22">
        <f t="shared" si="4"/>
        <v>460430</v>
      </c>
      <c r="H28" s="22">
        <f t="shared" si="4"/>
        <v>463069</v>
      </c>
      <c r="I28" s="22">
        <f t="shared" si="4"/>
        <v>482515</v>
      </c>
      <c r="J28" s="22">
        <f t="shared" si="4"/>
        <v>495164</v>
      </c>
      <c r="K28" s="22">
        <f t="shared" si="4"/>
        <v>459223</v>
      </c>
      <c r="L28" s="22">
        <f t="shared" si="4"/>
        <v>454104</v>
      </c>
      <c r="M28" s="22">
        <f t="shared" si="4"/>
        <v>532475</v>
      </c>
      <c r="N28" s="23">
        <f t="shared" si="4"/>
        <v>571797</v>
      </c>
      <c r="O28" s="24">
        <f>SUM(C28:N28)</f>
        <v>6256360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6E04-6ACA-4D15-906F-6BFE4B01A312}">
  <dimension ref="A1:AZ20"/>
  <sheetViews>
    <sheetView showGridLines="0" zoomScale="85" zoomScaleNormal="85" workbookViewId="0">
      <selection activeCell="A36" sqref="A36"/>
    </sheetView>
  </sheetViews>
  <sheetFormatPr defaultRowHeight="15" x14ac:dyDescent="0.25"/>
  <cols>
    <col min="2" max="2" width="36" bestFit="1" customWidth="1"/>
    <col min="3" max="3" width="19.85546875" bestFit="1" customWidth="1"/>
    <col min="4" max="13" width="17.85546875" bestFit="1" customWidth="1"/>
    <col min="14" max="15" width="19.85546875" bestFit="1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5" spans="1:52" ht="17.25" x14ac:dyDescent="0.3">
      <c r="B5" s="27" t="s">
        <v>35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28" t="s">
        <v>13</v>
      </c>
    </row>
    <row r="6" spans="1:52" x14ac:dyDescent="0.25">
      <c r="B6" s="29" t="s">
        <v>36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1:52" x14ac:dyDescent="0.25">
      <c r="B7" s="25" t="s">
        <v>37</v>
      </c>
      <c r="C7" s="3">
        <v>659000</v>
      </c>
      <c r="D7" s="3">
        <v>34346</v>
      </c>
      <c r="E7" s="3">
        <v>32420</v>
      </c>
      <c r="F7" s="3">
        <v>235000</v>
      </c>
      <c r="G7" s="3">
        <v>3400</v>
      </c>
      <c r="H7" s="3">
        <v>235000</v>
      </c>
      <c r="I7" s="3">
        <v>32420</v>
      </c>
      <c r="J7" s="3">
        <v>235000</v>
      </c>
      <c r="K7" s="3">
        <v>235000</v>
      </c>
      <c r="L7" s="3">
        <v>32420</v>
      </c>
      <c r="M7" s="3">
        <v>235000</v>
      </c>
      <c r="N7" s="3">
        <v>235000</v>
      </c>
      <c r="O7" s="5">
        <f>SUM(C7:N7)</f>
        <v>2204006</v>
      </c>
    </row>
    <row r="8" spans="1:52" x14ac:dyDescent="0.25">
      <c r="B8" s="25" t="s">
        <v>38</v>
      </c>
      <c r="C8" s="3">
        <v>890000</v>
      </c>
      <c r="D8" s="3">
        <v>124000</v>
      </c>
      <c r="E8" s="3">
        <v>345000</v>
      </c>
      <c r="F8" s="3">
        <v>654400</v>
      </c>
      <c r="G8" s="3">
        <v>75474</v>
      </c>
      <c r="H8" s="3">
        <v>654400</v>
      </c>
      <c r="I8" s="3">
        <v>345000</v>
      </c>
      <c r="J8" s="3">
        <v>654400</v>
      </c>
      <c r="K8" s="3">
        <v>654400</v>
      </c>
      <c r="L8" s="3">
        <v>345000</v>
      </c>
      <c r="M8" s="3">
        <v>654400</v>
      </c>
      <c r="N8" s="3">
        <v>654400</v>
      </c>
      <c r="O8" s="5">
        <f>SUM(C8:N8)</f>
        <v>6050874</v>
      </c>
    </row>
    <row r="9" spans="1:52" x14ac:dyDescent="0.25">
      <c r="B9" s="25" t="s">
        <v>39</v>
      </c>
      <c r="C9" s="3"/>
      <c r="D9" s="3"/>
      <c r="E9" s="3"/>
      <c r="F9" s="3"/>
      <c r="G9" s="3">
        <v>744</v>
      </c>
      <c r="H9" s="3"/>
      <c r="I9" s="3"/>
      <c r="J9" s="3"/>
      <c r="K9" s="3"/>
      <c r="L9" s="3"/>
      <c r="M9" s="3"/>
      <c r="N9" s="3"/>
      <c r="O9" s="5"/>
    </row>
    <row r="10" spans="1:52" x14ac:dyDescent="0.25">
      <c r="B10" s="25" t="s">
        <v>40</v>
      </c>
      <c r="C10" s="3">
        <v>0</v>
      </c>
      <c r="D10" s="3"/>
      <c r="E10" s="3">
        <v>120000</v>
      </c>
      <c r="F10" s="3"/>
      <c r="G10" s="3"/>
      <c r="H10" s="3"/>
      <c r="I10" s="3"/>
      <c r="J10" s="3"/>
      <c r="K10" s="3"/>
      <c r="L10" s="3"/>
      <c r="M10" s="3"/>
      <c r="N10" s="3"/>
      <c r="O10" s="5">
        <f>SUM(C10:N10)</f>
        <v>120000</v>
      </c>
    </row>
    <row r="11" spans="1:52" x14ac:dyDescent="0.25">
      <c r="B11" s="30" t="s">
        <v>26</v>
      </c>
      <c r="C11" s="16">
        <f>SUM(C7:C10)</f>
        <v>1549000</v>
      </c>
      <c r="D11" s="16">
        <f t="shared" ref="D11:O11" si="0">SUM(D7:D10)</f>
        <v>158346</v>
      </c>
      <c r="E11" s="16">
        <f t="shared" si="0"/>
        <v>497420</v>
      </c>
      <c r="F11" s="16">
        <f t="shared" si="0"/>
        <v>889400</v>
      </c>
      <c r="G11" s="16">
        <f t="shared" si="0"/>
        <v>79618</v>
      </c>
      <c r="H11" s="16">
        <f t="shared" si="0"/>
        <v>889400</v>
      </c>
      <c r="I11" s="16">
        <f t="shared" si="0"/>
        <v>377420</v>
      </c>
      <c r="J11" s="16">
        <f t="shared" si="0"/>
        <v>889400</v>
      </c>
      <c r="K11" s="16">
        <f t="shared" si="0"/>
        <v>889400</v>
      </c>
      <c r="L11" s="16">
        <f t="shared" si="0"/>
        <v>377420</v>
      </c>
      <c r="M11" s="16">
        <f t="shared" si="0"/>
        <v>889400</v>
      </c>
      <c r="N11" s="16">
        <f t="shared" si="0"/>
        <v>889400</v>
      </c>
      <c r="O11" s="17">
        <f t="shared" si="0"/>
        <v>8374880</v>
      </c>
    </row>
    <row r="12" spans="1:52" x14ac:dyDescent="0.25">
      <c r="B12" s="29" t="s">
        <v>41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52" x14ac:dyDescent="0.25">
      <c r="B13" s="25" t="s">
        <v>42</v>
      </c>
      <c r="C13" s="3">
        <v>12000</v>
      </c>
      <c r="D13" s="3">
        <v>1231</v>
      </c>
      <c r="E13" s="3">
        <v>34000</v>
      </c>
      <c r="F13" s="3">
        <v>34500</v>
      </c>
      <c r="G13" s="3">
        <v>32000</v>
      </c>
      <c r="H13" s="3">
        <v>65000</v>
      </c>
      <c r="I13" s="3">
        <v>65000</v>
      </c>
      <c r="J13" s="3">
        <v>65000</v>
      </c>
      <c r="K13" s="3">
        <v>34000</v>
      </c>
      <c r="L13" s="3">
        <v>65000</v>
      </c>
      <c r="M13" s="3">
        <v>65000</v>
      </c>
      <c r="N13" s="3">
        <v>65000</v>
      </c>
      <c r="O13" s="5">
        <f>SUM(C13:N13)</f>
        <v>537731</v>
      </c>
    </row>
    <row r="14" spans="1:52" x14ac:dyDescent="0.25">
      <c r="B14" s="30" t="s">
        <v>26</v>
      </c>
      <c r="C14" s="16">
        <f>SUM(C13)</f>
        <v>12000</v>
      </c>
      <c r="D14" s="16">
        <f>SUM(D13)</f>
        <v>1231</v>
      </c>
      <c r="E14" s="16">
        <f t="shared" ref="E14:O14" si="1">SUM(E13)</f>
        <v>34000</v>
      </c>
      <c r="F14" s="16">
        <f t="shared" si="1"/>
        <v>34500</v>
      </c>
      <c r="G14" s="16">
        <f t="shared" si="1"/>
        <v>32000</v>
      </c>
      <c r="H14" s="16">
        <f t="shared" si="1"/>
        <v>65000</v>
      </c>
      <c r="I14" s="16">
        <f t="shared" si="1"/>
        <v>65000</v>
      </c>
      <c r="J14" s="16">
        <f t="shared" si="1"/>
        <v>65000</v>
      </c>
      <c r="K14" s="16">
        <f t="shared" si="1"/>
        <v>34000</v>
      </c>
      <c r="L14" s="16">
        <f t="shared" si="1"/>
        <v>65000</v>
      </c>
      <c r="M14" s="16">
        <f t="shared" si="1"/>
        <v>65000</v>
      </c>
      <c r="N14" s="16">
        <f t="shared" si="1"/>
        <v>65000</v>
      </c>
      <c r="O14" s="17">
        <f t="shared" si="1"/>
        <v>537731</v>
      </c>
    </row>
    <row r="15" spans="1:52" x14ac:dyDescent="0.25">
      <c r="B15" s="29" t="s">
        <v>43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</row>
    <row r="16" spans="1:52" x14ac:dyDescent="0.25">
      <c r="B16" s="25" t="s">
        <v>44</v>
      </c>
      <c r="C16" s="26">
        <v>4367</v>
      </c>
      <c r="D16" s="3">
        <v>4780</v>
      </c>
      <c r="E16" s="3">
        <v>4780</v>
      </c>
      <c r="F16" s="3">
        <v>4780</v>
      </c>
      <c r="G16" s="3">
        <v>4780</v>
      </c>
      <c r="H16" s="3">
        <v>5100</v>
      </c>
      <c r="I16" s="3">
        <v>5100</v>
      </c>
      <c r="J16" s="3">
        <v>5100</v>
      </c>
      <c r="K16" s="3">
        <v>5340</v>
      </c>
      <c r="L16" s="3">
        <v>5340</v>
      </c>
      <c r="M16" s="3">
        <v>5340</v>
      </c>
      <c r="N16" s="3">
        <v>5600</v>
      </c>
      <c r="O16" s="5">
        <f>SUM(C16:N16)</f>
        <v>60407</v>
      </c>
    </row>
    <row r="17" spans="2:15" x14ac:dyDescent="0.25">
      <c r="B17" s="25" t="s">
        <v>45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340000</v>
      </c>
      <c r="O17" s="5">
        <f>SUM(C17:N17)</f>
        <v>340000</v>
      </c>
    </row>
    <row r="18" spans="2:15" x14ac:dyDescent="0.25">
      <c r="B18" s="25" t="s">
        <v>46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5">
        <f>SUM(C18:N18)</f>
        <v>0</v>
      </c>
    </row>
    <row r="19" spans="2:15" x14ac:dyDescent="0.25">
      <c r="B19" s="30" t="s">
        <v>26</v>
      </c>
      <c r="C19" s="16">
        <f>SUM(C16:C18)</f>
        <v>4367</v>
      </c>
      <c r="D19" s="16">
        <f t="shared" ref="D19:O19" si="2">SUM(D16:D18)</f>
        <v>4780</v>
      </c>
      <c r="E19" s="16">
        <f t="shared" si="2"/>
        <v>4780</v>
      </c>
      <c r="F19" s="16">
        <f t="shared" si="2"/>
        <v>4780</v>
      </c>
      <c r="G19" s="16">
        <f t="shared" si="2"/>
        <v>4780</v>
      </c>
      <c r="H19" s="16">
        <f t="shared" si="2"/>
        <v>5100</v>
      </c>
      <c r="I19" s="16">
        <f t="shared" si="2"/>
        <v>5100</v>
      </c>
      <c r="J19" s="16">
        <f t="shared" si="2"/>
        <v>5100</v>
      </c>
      <c r="K19" s="16">
        <f t="shared" si="2"/>
        <v>5340</v>
      </c>
      <c r="L19" s="16">
        <f t="shared" si="2"/>
        <v>5340</v>
      </c>
      <c r="M19" s="16">
        <f t="shared" si="2"/>
        <v>5340</v>
      </c>
      <c r="N19" s="16">
        <f t="shared" si="2"/>
        <v>345600</v>
      </c>
      <c r="O19" s="17">
        <f t="shared" si="2"/>
        <v>400407</v>
      </c>
    </row>
    <row r="20" spans="2:15" ht="17.25" x14ac:dyDescent="0.3">
      <c r="B20" s="31" t="s">
        <v>34</v>
      </c>
      <c r="C20" s="32">
        <f>C11+C14+C19</f>
        <v>1565367</v>
      </c>
      <c r="D20" s="32">
        <f t="shared" ref="D20:O20" si="3">D11+D14+D19</f>
        <v>164357</v>
      </c>
      <c r="E20" s="32">
        <f t="shared" si="3"/>
        <v>536200</v>
      </c>
      <c r="F20" s="32">
        <f t="shared" si="3"/>
        <v>928680</v>
      </c>
      <c r="G20" s="32">
        <f t="shared" si="3"/>
        <v>116398</v>
      </c>
      <c r="H20" s="32">
        <f t="shared" si="3"/>
        <v>959500</v>
      </c>
      <c r="I20" s="32">
        <f t="shared" si="3"/>
        <v>447520</v>
      </c>
      <c r="J20" s="32">
        <f t="shared" si="3"/>
        <v>959500</v>
      </c>
      <c r="K20" s="32">
        <f t="shared" si="3"/>
        <v>928740</v>
      </c>
      <c r="L20" s="32">
        <f t="shared" si="3"/>
        <v>447760</v>
      </c>
      <c r="M20" s="32">
        <f t="shared" si="3"/>
        <v>959740</v>
      </c>
      <c r="N20" s="32">
        <f t="shared" si="3"/>
        <v>1300000</v>
      </c>
      <c r="O20" s="33">
        <f t="shared" si="3"/>
        <v>9313018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6C8D-342E-46EB-B76C-2657AC170E5C}">
  <dimension ref="A1:AZ18"/>
  <sheetViews>
    <sheetView showGridLines="0" workbookViewId="0">
      <selection activeCell="A34" sqref="A34"/>
    </sheetView>
  </sheetViews>
  <sheetFormatPr defaultRowHeight="15" x14ac:dyDescent="0.25"/>
  <cols>
    <col min="2" max="2" width="10.140625" bestFit="1" customWidth="1"/>
    <col min="3" max="5" width="20.7109375" bestFit="1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5" spans="1:52" ht="17.25" x14ac:dyDescent="0.3">
      <c r="B5" s="36" t="s">
        <v>47</v>
      </c>
      <c r="C5" s="36" t="s">
        <v>48</v>
      </c>
      <c r="D5" s="36" t="s">
        <v>49</v>
      </c>
      <c r="E5" s="36" t="s">
        <v>50</v>
      </c>
    </row>
    <row r="6" spans="1:52" x14ac:dyDescent="0.25">
      <c r="B6" t="s">
        <v>1</v>
      </c>
      <c r="C6" s="34">
        <f>Contas_a_Receber!C20</f>
        <v>1565367</v>
      </c>
      <c r="D6" s="34">
        <f>Contas_a_Pagar!C28</f>
        <v>554584</v>
      </c>
      <c r="E6" s="34">
        <f>Tabela3[[#This Row],[Entradas]]-Tabela3[[#This Row],[Saídas]]</f>
        <v>1010783</v>
      </c>
    </row>
    <row r="7" spans="1:52" x14ac:dyDescent="0.25">
      <c r="B7" t="s">
        <v>2</v>
      </c>
      <c r="C7" s="34">
        <f>Contas_a_Receber!D20</f>
        <v>164357</v>
      </c>
      <c r="D7" s="34">
        <f>Contas_a_Pagar!D28</f>
        <v>798622</v>
      </c>
      <c r="E7" s="34">
        <f>E6+Tabela3[[#This Row],[Entradas]]-Tabela3[[#This Row],[Saídas]]</f>
        <v>376518</v>
      </c>
    </row>
    <row r="8" spans="1:52" x14ac:dyDescent="0.25">
      <c r="B8" t="s">
        <v>3</v>
      </c>
      <c r="C8" s="34">
        <f>Contas_a_Receber!E20</f>
        <v>536200</v>
      </c>
      <c r="D8" s="34">
        <f>Contas_a_Pagar!E28</f>
        <v>552658</v>
      </c>
      <c r="E8" s="34">
        <f>E7+Tabela3[[#This Row],[Entradas]]-Tabela3[[#This Row],[Saídas]]</f>
        <v>360060</v>
      </c>
    </row>
    <row r="9" spans="1:52" x14ac:dyDescent="0.25">
      <c r="B9" t="s">
        <v>4</v>
      </c>
      <c r="C9" s="34">
        <f>Contas_a_Receber!F20</f>
        <v>928680</v>
      </c>
      <c r="D9" s="34">
        <f>Contas_a_Pagar!F28</f>
        <v>431719</v>
      </c>
      <c r="E9" s="34">
        <f>E8+Tabela3[[#This Row],[Entradas]]-Tabela3[[#This Row],[Saídas]]</f>
        <v>857021</v>
      </c>
    </row>
    <row r="10" spans="1:52" x14ac:dyDescent="0.25">
      <c r="B10" t="s">
        <v>5</v>
      </c>
      <c r="C10" s="34">
        <f>Contas_a_Receber!G20</f>
        <v>116398</v>
      </c>
      <c r="D10" s="34">
        <f>Contas_a_Pagar!G28</f>
        <v>460430</v>
      </c>
      <c r="E10" s="34">
        <f>E9+Tabela3[[#This Row],[Entradas]]-Tabela3[[#This Row],[Saídas]]</f>
        <v>512989</v>
      </c>
    </row>
    <row r="11" spans="1:52" x14ac:dyDescent="0.25">
      <c r="B11" t="s">
        <v>6</v>
      </c>
      <c r="C11" s="34">
        <f>Contas_a_Receber!H20</f>
        <v>959500</v>
      </c>
      <c r="D11" s="34">
        <f>Contas_a_Pagar!H28</f>
        <v>463069</v>
      </c>
      <c r="E11" s="34">
        <f>E10+Tabela3[[#This Row],[Entradas]]-Tabela3[[#This Row],[Saídas]]</f>
        <v>1009420</v>
      </c>
    </row>
    <row r="12" spans="1:52" x14ac:dyDescent="0.25">
      <c r="B12" t="s">
        <v>7</v>
      </c>
      <c r="C12" s="34">
        <f>Contas_a_Receber!I20</f>
        <v>447520</v>
      </c>
      <c r="D12" s="34">
        <f>Contas_a_Pagar!I28</f>
        <v>482515</v>
      </c>
      <c r="E12" s="34">
        <f>E11+Tabela3[[#This Row],[Entradas]]-Tabela3[[#This Row],[Saídas]]</f>
        <v>974425</v>
      </c>
    </row>
    <row r="13" spans="1:52" x14ac:dyDescent="0.25">
      <c r="B13" t="s">
        <v>8</v>
      </c>
      <c r="C13" s="34">
        <f>Contas_a_Receber!J20</f>
        <v>959500</v>
      </c>
      <c r="D13" s="34">
        <f>Contas_a_Pagar!J28</f>
        <v>495164</v>
      </c>
      <c r="E13" s="34">
        <f>E12+Tabela3[[#This Row],[Entradas]]-Tabela3[[#This Row],[Saídas]]</f>
        <v>1438761</v>
      </c>
    </row>
    <row r="14" spans="1:52" x14ac:dyDescent="0.25">
      <c r="B14" t="s">
        <v>9</v>
      </c>
      <c r="C14" s="34">
        <f>Contas_a_Receber!K20</f>
        <v>928740</v>
      </c>
      <c r="D14" s="34">
        <f>Contas_a_Pagar!K28</f>
        <v>459223</v>
      </c>
      <c r="E14" s="34">
        <f>E13+Tabela3[[#This Row],[Entradas]]-Tabela3[[#This Row],[Saídas]]</f>
        <v>1908278</v>
      </c>
    </row>
    <row r="15" spans="1:52" x14ac:dyDescent="0.25">
      <c r="B15" t="s">
        <v>10</v>
      </c>
      <c r="C15" s="34">
        <f>Contas_a_Receber!L20</f>
        <v>447760</v>
      </c>
      <c r="D15" s="34">
        <f>Contas_a_Pagar!L28</f>
        <v>454104</v>
      </c>
      <c r="E15" s="34">
        <f>E14+Tabela3[[#This Row],[Entradas]]-Tabela3[[#This Row],[Saídas]]</f>
        <v>1901934</v>
      </c>
    </row>
    <row r="16" spans="1:52" x14ac:dyDescent="0.25">
      <c r="B16" t="s">
        <v>11</v>
      </c>
      <c r="C16" s="34">
        <f>Contas_a_Receber!M20</f>
        <v>959740</v>
      </c>
      <c r="D16" s="34">
        <f>Contas_a_Pagar!M28</f>
        <v>532475</v>
      </c>
      <c r="E16" s="34">
        <f>E15+Tabela3[[#This Row],[Entradas]]-Tabela3[[#This Row],[Saídas]]</f>
        <v>2329199</v>
      </c>
    </row>
    <row r="17" spans="2:5" x14ac:dyDescent="0.25">
      <c r="B17" t="s">
        <v>12</v>
      </c>
      <c r="C17" s="34">
        <f>Contas_a_Receber!N20</f>
        <v>1300000</v>
      </c>
      <c r="D17" s="34">
        <f>Contas_a_Pagar!N28</f>
        <v>571797</v>
      </c>
      <c r="E17" s="34">
        <f>E16+Tabela3[[#This Row],[Entradas]]-Tabela3[[#This Row],[Saídas]]</f>
        <v>3057402</v>
      </c>
    </row>
    <row r="18" spans="2:5" ht="17.25" x14ac:dyDescent="0.3">
      <c r="B18" s="31" t="s">
        <v>51</v>
      </c>
      <c r="C18" s="37">
        <f>SUM(C6:C17)</f>
        <v>9313762</v>
      </c>
      <c r="D18" s="37">
        <f>SUM(D6:D17)</f>
        <v>6256360</v>
      </c>
      <c r="E18" s="37">
        <f>E17</f>
        <v>3057402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7EA1-DD22-4458-96A9-9ABE6203F83D}">
  <dimension ref="A1:AZ17"/>
  <sheetViews>
    <sheetView showGridLines="0" workbookViewId="0">
      <selection activeCell="C29" sqref="C29"/>
    </sheetView>
  </sheetViews>
  <sheetFormatPr defaultRowHeight="15" x14ac:dyDescent="0.25"/>
  <cols>
    <col min="2" max="2" width="46.42578125" bestFit="1" customWidth="1"/>
    <col min="3" max="3" width="28.28515625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5" spans="1:52" ht="17.25" x14ac:dyDescent="0.3">
      <c r="B5" s="40" t="s">
        <v>52</v>
      </c>
      <c r="C5" s="38" t="s">
        <v>53</v>
      </c>
    </row>
    <row r="6" spans="1:52" ht="17.25" x14ac:dyDescent="0.3">
      <c r="B6" s="7" t="s">
        <v>54</v>
      </c>
      <c r="C6" s="5">
        <f>Contas_a_Receber!O7+Contas_a_Receber!O8+Contas_a_Receber!O14</f>
        <v>8792611</v>
      </c>
    </row>
    <row r="7" spans="1:52" ht="17.25" x14ac:dyDescent="0.3">
      <c r="B7" s="7" t="s">
        <v>55</v>
      </c>
      <c r="C7" s="5">
        <f>Contas_a_Pagar!O18</f>
        <v>2497465</v>
      </c>
    </row>
    <row r="8" spans="1:52" ht="17.25" x14ac:dyDescent="0.3">
      <c r="B8" s="7" t="s">
        <v>56</v>
      </c>
      <c r="C8" s="5">
        <f>C6-C7</f>
        <v>6295146</v>
      </c>
    </row>
    <row r="9" spans="1:52" ht="17.25" x14ac:dyDescent="0.3">
      <c r="B9" s="7" t="s">
        <v>57</v>
      </c>
      <c r="C9" s="5">
        <f>Contas_a_Pagar!O24</f>
        <v>3714069</v>
      </c>
    </row>
    <row r="10" spans="1:52" ht="17.25" x14ac:dyDescent="0.3">
      <c r="B10" s="7" t="s">
        <v>58</v>
      </c>
      <c r="C10" s="5">
        <f>C8-C9</f>
        <v>2581077</v>
      </c>
    </row>
    <row r="11" spans="1:52" ht="17.25" x14ac:dyDescent="0.3">
      <c r="B11" s="7" t="s">
        <v>59</v>
      </c>
      <c r="C11" s="5">
        <f>Contas_a_Receber!O19</f>
        <v>400407</v>
      </c>
    </row>
    <row r="12" spans="1:52" ht="17.25" x14ac:dyDescent="0.3">
      <c r="B12" s="7" t="s">
        <v>60</v>
      </c>
      <c r="C12" s="5">
        <v>0</v>
      </c>
    </row>
    <row r="13" spans="1:52" ht="17.25" x14ac:dyDescent="0.3">
      <c r="B13" s="7" t="s">
        <v>61</v>
      </c>
      <c r="C13" s="5">
        <f>C11-C12</f>
        <v>400407</v>
      </c>
    </row>
    <row r="14" spans="1:52" ht="17.25" x14ac:dyDescent="0.3">
      <c r="B14" s="7" t="s">
        <v>62</v>
      </c>
      <c r="C14" s="5">
        <f>C10+C13</f>
        <v>2981484</v>
      </c>
    </row>
    <row r="15" spans="1:52" ht="17.25" x14ac:dyDescent="0.3">
      <c r="B15" s="7" t="s">
        <v>63</v>
      </c>
      <c r="C15" s="5">
        <f>C14+Contas_a_Receber!O10</f>
        <v>3101484</v>
      </c>
    </row>
    <row r="16" spans="1:52" ht="17.25" x14ac:dyDescent="0.3">
      <c r="B16" s="7" t="s">
        <v>64</v>
      </c>
      <c r="C16" s="5">
        <f>C15*(15%)</f>
        <v>465222.6</v>
      </c>
    </row>
    <row r="17" spans="2:3" ht="17.25" x14ac:dyDescent="0.3">
      <c r="B17" s="21" t="s">
        <v>65</v>
      </c>
      <c r="C17" s="39">
        <f>C15-C16</f>
        <v>2636261.4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F9DB-8D49-482F-8BDB-F79DEA0A4BBA}">
  <dimension ref="A1:AZ69"/>
  <sheetViews>
    <sheetView showGridLines="0" topLeftCell="A33" workbookViewId="0">
      <selection activeCell="G60" sqref="G60"/>
    </sheetView>
  </sheetViews>
  <sheetFormatPr defaultRowHeight="15" x14ac:dyDescent="0.25"/>
  <cols>
    <col min="2" max="2" width="10.7109375" bestFit="1" customWidth="1"/>
    <col min="3" max="3" width="27.85546875" bestFit="1" customWidth="1"/>
    <col min="4" max="4" width="20.140625" bestFit="1" customWidth="1"/>
    <col min="5" max="15" width="14.28515625" bestFit="1" customWidth="1"/>
    <col min="16" max="16" width="15.85546875" bestFit="1" customWidth="1"/>
    <col min="18" max="18" width="27.85546875" bestFit="1" customWidth="1"/>
    <col min="19" max="19" width="15.85546875" bestFit="1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4" spans="1:52" x14ac:dyDescent="0.25">
      <c r="M4" s="47"/>
      <c r="N4" s="47"/>
      <c r="O4" s="47"/>
      <c r="P4" s="47"/>
      <c r="Q4" s="47"/>
      <c r="R4" s="47"/>
      <c r="S4" s="47"/>
      <c r="T4" s="47"/>
    </row>
    <row r="5" spans="1:52" x14ac:dyDescent="0.25">
      <c r="B5" s="6" t="s">
        <v>66</v>
      </c>
      <c r="C5" s="6"/>
      <c r="D5" s="6"/>
      <c r="E5" s="6"/>
      <c r="F5" s="6"/>
      <c r="G5" s="6"/>
      <c r="H5" s="6"/>
      <c r="I5" s="6"/>
      <c r="J5" s="6"/>
      <c r="K5" s="6"/>
      <c r="L5" s="6"/>
      <c r="M5" s="47"/>
      <c r="N5" s="47"/>
      <c r="O5" s="47"/>
      <c r="P5" s="47"/>
      <c r="Q5" s="47"/>
      <c r="R5" s="47"/>
      <c r="S5" s="47"/>
      <c r="T5" s="47"/>
    </row>
    <row r="7" spans="1:52" x14ac:dyDescent="0.25">
      <c r="B7" s="42" t="s">
        <v>67</v>
      </c>
      <c r="C7" s="42" t="s">
        <v>68</v>
      </c>
      <c r="D7" s="42" t="s">
        <v>65</v>
      </c>
      <c r="E7" s="42" t="s">
        <v>69</v>
      </c>
      <c r="F7" s="42" t="s">
        <v>70</v>
      </c>
      <c r="H7" s="27" t="s">
        <v>67</v>
      </c>
      <c r="I7" s="27" t="s">
        <v>68</v>
      </c>
      <c r="J7" s="27" t="s">
        <v>65</v>
      </c>
      <c r="K7" s="27" t="s">
        <v>69</v>
      </c>
      <c r="L7" s="27" t="s">
        <v>73</v>
      </c>
    </row>
    <row r="8" spans="1:52" x14ac:dyDescent="0.25">
      <c r="B8" s="46">
        <f>DRE_Simplificada!C6</f>
        <v>8792611</v>
      </c>
      <c r="C8" s="46">
        <f>DRE_Simplificada!C7+DRE_Simplificada!C9</f>
        <v>6211534</v>
      </c>
      <c r="D8" s="46">
        <f>DRE_Simplificada!C17</f>
        <v>2636261.4</v>
      </c>
      <c r="E8" s="41">
        <f>IFERROR(D8/B8,"")</f>
        <v>0.29982691148283486</v>
      </c>
      <c r="F8" s="34">
        <f>Fluxo_de_Caixa!E18</f>
        <v>3057402</v>
      </c>
      <c r="H8" s="45">
        <f>Tabela7[[#This Row],[Receita Total]]</f>
        <v>8792611</v>
      </c>
      <c r="I8" s="45">
        <f>Tabela7[[#This Row],[Custos + Despesas]]</f>
        <v>6211534</v>
      </c>
      <c r="J8" s="45">
        <f>Tabela7[[#This Row],[Lucro Líquido]]</f>
        <v>2636261.4</v>
      </c>
      <c r="K8" s="48">
        <f>Tabela7[[#This Row],[Margem Líquida]]</f>
        <v>0.29982691148283486</v>
      </c>
      <c r="L8" s="34">
        <f>Tabela7[[#This Row],[Saldo Final de Caixa]]</f>
        <v>3057402</v>
      </c>
      <c r="M8" s="34"/>
    </row>
    <row r="12" spans="1:52" x14ac:dyDescent="0.25">
      <c r="B12" s="6" t="s">
        <v>74</v>
      </c>
      <c r="C12" s="6"/>
      <c r="D12" s="6"/>
      <c r="E12" s="6"/>
      <c r="F12" s="6"/>
      <c r="G12" s="47"/>
      <c r="H12" s="6" t="s">
        <v>75</v>
      </c>
      <c r="I12" s="6"/>
      <c r="J12" s="6"/>
      <c r="K12" s="6"/>
      <c r="L12" s="6"/>
      <c r="N12" s="6" t="s">
        <v>76</v>
      </c>
      <c r="O12" s="6"/>
      <c r="P12" s="6"/>
      <c r="Q12" s="6"/>
      <c r="R12" s="6"/>
    </row>
    <row r="14" spans="1:52" ht="17.25" x14ac:dyDescent="0.3">
      <c r="B14" t="s">
        <v>47</v>
      </c>
      <c r="C14" t="s">
        <v>48</v>
      </c>
      <c r="D14" t="s">
        <v>49</v>
      </c>
      <c r="H14" t="s">
        <v>47</v>
      </c>
      <c r="I14" t="s">
        <v>50</v>
      </c>
      <c r="N14" s="53" t="s">
        <v>47</v>
      </c>
      <c r="O14" s="52" t="s">
        <v>77</v>
      </c>
      <c r="P14" t="s">
        <v>78</v>
      </c>
    </row>
    <row r="15" spans="1:52" ht="17.25" x14ac:dyDescent="0.3">
      <c r="B15" s="35" t="s">
        <v>1</v>
      </c>
      <c r="C15" s="49">
        <f>Fluxo_de_Caixa!C6</f>
        <v>1565367</v>
      </c>
      <c r="D15" s="49">
        <f>Fluxo_de_Caixa!D6</f>
        <v>554584</v>
      </c>
      <c r="H15" s="35" t="s">
        <v>1</v>
      </c>
      <c r="I15" s="49">
        <f>Fluxo_de_Caixa!E6</f>
        <v>1010783</v>
      </c>
      <c r="N15" s="51" t="s">
        <v>1</v>
      </c>
      <c r="O15" s="50">
        <f>Contas_a_Pagar!C18</f>
        <v>245200</v>
      </c>
      <c r="P15" s="34">
        <f>Contas_a_Pagar!C24</f>
        <v>297043</v>
      </c>
    </row>
    <row r="16" spans="1:52" ht="17.25" x14ac:dyDescent="0.3">
      <c r="B16" s="35" t="s">
        <v>2</v>
      </c>
      <c r="C16" s="49">
        <f>Fluxo_de_Caixa!C7</f>
        <v>164357</v>
      </c>
      <c r="D16" s="49">
        <f>Fluxo_de_Caixa!D7</f>
        <v>798622</v>
      </c>
      <c r="H16" s="35" t="s">
        <v>2</v>
      </c>
      <c r="I16" s="49">
        <f>Fluxo_de_Caixa!E7</f>
        <v>376518</v>
      </c>
      <c r="N16" s="51" t="s">
        <v>2</v>
      </c>
      <c r="O16" s="50">
        <f>Contas_a_Pagar!D18</f>
        <v>476546</v>
      </c>
      <c r="P16" s="34">
        <f>Contas_a_Pagar!D24</f>
        <v>319734</v>
      </c>
    </row>
    <row r="17" spans="2:16" ht="17.25" x14ac:dyDescent="0.3">
      <c r="B17" s="35" t="s">
        <v>3</v>
      </c>
      <c r="C17" s="49">
        <f>Fluxo_de_Caixa!C8</f>
        <v>536200</v>
      </c>
      <c r="D17" s="49">
        <f>Fluxo_de_Caixa!D8</f>
        <v>552658</v>
      </c>
      <c r="H17" s="35" t="s">
        <v>3</v>
      </c>
      <c r="I17" s="49">
        <f>Fluxo_de_Caixa!E8</f>
        <v>360060</v>
      </c>
      <c r="N17" s="51" t="s">
        <v>3</v>
      </c>
      <c r="O17" s="50">
        <f>Contas_a_Pagar!E18</f>
        <v>230700</v>
      </c>
      <c r="P17" s="34">
        <f>Contas_a_Pagar!E24</f>
        <v>317724</v>
      </c>
    </row>
    <row r="18" spans="2:16" ht="17.25" x14ac:dyDescent="0.3">
      <c r="B18" s="35" t="s">
        <v>4</v>
      </c>
      <c r="C18" s="49">
        <f>Fluxo_de_Caixa!C9</f>
        <v>928680</v>
      </c>
      <c r="D18" s="49">
        <f>Fluxo_de_Caixa!D9</f>
        <v>431719</v>
      </c>
      <c r="H18" s="35" t="s">
        <v>4</v>
      </c>
      <c r="I18" s="49">
        <f>Fluxo_de_Caixa!E9</f>
        <v>857021</v>
      </c>
      <c r="N18" s="51" t="s">
        <v>4</v>
      </c>
      <c r="O18" s="34">
        <f>Tabela6[[#This Row],[Abril]]</f>
        <v>115900</v>
      </c>
      <c r="P18" s="34">
        <f>Contas_a_Pagar!F24</f>
        <v>315576</v>
      </c>
    </row>
    <row r="19" spans="2:16" ht="17.25" x14ac:dyDescent="0.3">
      <c r="B19" s="35" t="s">
        <v>5</v>
      </c>
      <c r="C19" s="49">
        <f>Fluxo_de_Caixa!C10</f>
        <v>116398</v>
      </c>
      <c r="D19" s="49">
        <f>Fluxo_de_Caixa!D10</f>
        <v>460430</v>
      </c>
      <c r="H19" s="35" t="s">
        <v>5</v>
      </c>
      <c r="I19" s="49">
        <f>Fluxo_de_Caixa!E10</f>
        <v>512989</v>
      </c>
      <c r="N19" s="51" t="s">
        <v>5</v>
      </c>
      <c r="O19" s="34">
        <f>Contas_a_Pagar!G18</f>
        <v>144400</v>
      </c>
      <c r="P19" s="34">
        <f>Contas_a_Pagar!G24</f>
        <v>315977</v>
      </c>
    </row>
    <row r="20" spans="2:16" ht="17.25" x14ac:dyDescent="0.3">
      <c r="B20" s="35" t="s">
        <v>6</v>
      </c>
      <c r="C20" s="49">
        <f>Fluxo_de_Caixa!C11</f>
        <v>959500</v>
      </c>
      <c r="D20" s="49">
        <f>Fluxo_de_Caixa!D11</f>
        <v>463069</v>
      </c>
      <c r="H20" s="35" t="s">
        <v>6</v>
      </c>
      <c r="I20" s="49">
        <f>Fluxo_de_Caixa!E11</f>
        <v>1009420</v>
      </c>
      <c r="N20" s="51" t="s">
        <v>6</v>
      </c>
      <c r="O20" s="34">
        <f>Contas_a_Pagar!H18</f>
        <v>138060</v>
      </c>
      <c r="P20" s="34">
        <f>Contas_a_Pagar!H24</f>
        <v>300577</v>
      </c>
    </row>
    <row r="21" spans="2:16" ht="17.25" x14ac:dyDescent="0.3">
      <c r="B21" s="35" t="s">
        <v>7</v>
      </c>
      <c r="C21" s="49">
        <f>Fluxo_de_Caixa!C12</f>
        <v>447520</v>
      </c>
      <c r="D21" s="49">
        <f>Fluxo_de_Caixa!D12</f>
        <v>482515</v>
      </c>
      <c r="H21" s="35" t="s">
        <v>7</v>
      </c>
      <c r="I21" s="49">
        <f>Fluxo_de_Caixa!E12</f>
        <v>974425</v>
      </c>
      <c r="N21" s="51" t="s">
        <v>7</v>
      </c>
      <c r="O21" s="34">
        <f>Contas_a_Pagar!I18</f>
        <v>168100</v>
      </c>
      <c r="P21" s="34">
        <f>Contas_a_Pagar!I24</f>
        <v>314181</v>
      </c>
    </row>
    <row r="22" spans="2:16" ht="17.25" x14ac:dyDescent="0.3">
      <c r="B22" s="35" t="s">
        <v>8</v>
      </c>
      <c r="C22" s="49">
        <f>Fluxo_de_Caixa!C13</f>
        <v>959500</v>
      </c>
      <c r="D22" s="49">
        <f>Fluxo_de_Caixa!D13</f>
        <v>495164</v>
      </c>
      <c r="H22" s="35" t="s">
        <v>8</v>
      </c>
      <c r="I22" s="49">
        <f>Fluxo_de_Caixa!E13</f>
        <v>1438761</v>
      </c>
      <c r="N22" s="51" t="s">
        <v>8</v>
      </c>
      <c r="O22" s="34">
        <f>Contas_a_Pagar!J18</f>
        <v>191070</v>
      </c>
      <c r="P22" s="34">
        <f>Contas_a_Pagar!J24</f>
        <v>303852</v>
      </c>
    </row>
    <row r="23" spans="2:16" ht="17.25" x14ac:dyDescent="0.3">
      <c r="B23" s="35" t="s">
        <v>9</v>
      </c>
      <c r="C23" s="49">
        <f>Fluxo_de_Caixa!C14</f>
        <v>928740</v>
      </c>
      <c r="D23" s="49">
        <f>Fluxo_de_Caixa!D14</f>
        <v>459223</v>
      </c>
      <c r="H23" s="35" t="s">
        <v>9</v>
      </c>
      <c r="I23" s="49">
        <f>Fluxo_de_Caixa!E14</f>
        <v>1908278</v>
      </c>
      <c r="N23" s="51" t="s">
        <v>9</v>
      </c>
      <c r="O23" s="34">
        <f>Contas_a_Pagar!K18</f>
        <v>157767</v>
      </c>
      <c r="P23" s="34">
        <f>Contas_a_Pagar!K24</f>
        <v>301453</v>
      </c>
    </row>
    <row r="24" spans="2:16" ht="17.25" x14ac:dyDescent="0.3">
      <c r="B24" s="35" t="s">
        <v>10</v>
      </c>
      <c r="C24" s="49">
        <f>Fluxo_de_Caixa!C15</f>
        <v>447760</v>
      </c>
      <c r="D24" s="49">
        <f>Fluxo_de_Caixa!D15</f>
        <v>454104</v>
      </c>
      <c r="H24" s="35" t="s">
        <v>10</v>
      </c>
      <c r="I24" s="49">
        <f>Fluxo_de_Caixa!E15</f>
        <v>1901934</v>
      </c>
      <c r="N24" s="51" t="s">
        <v>10</v>
      </c>
      <c r="O24" s="34">
        <f>Contas_a_Pagar!L18</f>
        <v>136448</v>
      </c>
      <c r="P24" s="34">
        <f>Tabela6[[#This Row],[Outubro]]</f>
        <v>317422</v>
      </c>
    </row>
    <row r="25" spans="2:16" ht="17.25" x14ac:dyDescent="0.3">
      <c r="B25" s="35" t="s">
        <v>11</v>
      </c>
      <c r="C25" s="49">
        <f>Fluxo_de_Caixa!C16</f>
        <v>959740</v>
      </c>
      <c r="D25" s="49">
        <f>Fluxo_de_Caixa!D16</f>
        <v>532475</v>
      </c>
      <c r="H25" s="35" t="s">
        <v>11</v>
      </c>
      <c r="I25" s="49">
        <f>Fluxo_de_Caixa!E16</f>
        <v>2329199</v>
      </c>
      <c r="N25" s="51" t="s">
        <v>11</v>
      </c>
      <c r="O25" s="34">
        <f>Contas_a_Pagar!M18</f>
        <v>236587</v>
      </c>
      <c r="P25" s="34">
        <f>Contas_a_Pagar!M24</f>
        <v>295654</v>
      </c>
    </row>
    <row r="26" spans="2:16" ht="17.25" x14ac:dyDescent="0.3">
      <c r="B26" s="35" t="s">
        <v>12</v>
      </c>
      <c r="C26" s="49">
        <f>Fluxo_de_Caixa!C17</f>
        <v>1300000</v>
      </c>
      <c r="D26" s="49">
        <f>Fluxo_de_Caixa!D17</f>
        <v>571797</v>
      </c>
      <c r="H26" s="35" t="s">
        <v>12</v>
      </c>
      <c r="I26" s="49">
        <f>Fluxo_de_Caixa!E17</f>
        <v>3057402</v>
      </c>
      <c r="N26" s="51" t="s">
        <v>12</v>
      </c>
      <c r="O26" s="34">
        <f>Contas_a_Pagar!N18</f>
        <v>256687</v>
      </c>
      <c r="P26" s="34">
        <f>Contas_a_Pagar!N24</f>
        <v>314876</v>
      </c>
    </row>
    <row r="30" spans="2:16" x14ac:dyDescent="0.25">
      <c r="C30" s="57" t="s">
        <v>47</v>
      </c>
      <c r="D30" s="57" t="s">
        <v>48</v>
      </c>
      <c r="E30" s="57" t="s">
        <v>49</v>
      </c>
      <c r="F30" s="57" t="s">
        <v>50</v>
      </c>
      <c r="G30" s="58" t="s">
        <v>77</v>
      </c>
      <c r="H30" s="57" t="s">
        <v>78</v>
      </c>
    </row>
    <row r="31" spans="2:16" x14ac:dyDescent="0.25">
      <c r="C31" s="54" t="s">
        <v>1</v>
      </c>
      <c r="D31" s="34">
        <f>C15</f>
        <v>1565367</v>
      </c>
      <c r="E31" s="34">
        <f>D15</f>
        <v>554584</v>
      </c>
      <c r="F31" s="34">
        <f>I15</f>
        <v>1010783</v>
      </c>
      <c r="G31" s="34">
        <f>O15</f>
        <v>245200</v>
      </c>
      <c r="H31" s="34">
        <f>P15</f>
        <v>297043</v>
      </c>
    </row>
    <row r="32" spans="2:16" x14ac:dyDescent="0.25">
      <c r="C32" s="55" t="s">
        <v>2</v>
      </c>
      <c r="D32" s="34">
        <f t="shared" ref="D32:E42" si="0">C16</f>
        <v>164357</v>
      </c>
      <c r="E32" s="34">
        <f t="shared" si="0"/>
        <v>798622</v>
      </c>
      <c r="F32" s="34">
        <f t="shared" ref="F32:F42" si="1">I16</f>
        <v>376518</v>
      </c>
      <c r="G32" s="34">
        <f t="shared" ref="G32:G42" si="2">O16</f>
        <v>476546</v>
      </c>
      <c r="H32" s="34">
        <f t="shared" ref="H32:H42" si="3">P16</f>
        <v>319734</v>
      </c>
    </row>
    <row r="33" spans="3:11" x14ac:dyDescent="0.25">
      <c r="C33" s="54" t="s">
        <v>3</v>
      </c>
      <c r="D33" s="34">
        <f t="shared" si="0"/>
        <v>536200</v>
      </c>
      <c r="E33" s="34">
        <f t="shared" si="0"/>
        <v>552658</v>
      </c>
      <c r="F33" s="34">
        <f t="shared" si="1"/>
        <v>360060</v>
      </c>
      <c r="G33" s="34">
        <f t="shared" si="2"/>
        <v>230700</v>
      </c>
      <c r="H33" s="34">
        <f t="shared" si="3"/>
        <v>317724</v>
      </c>
    </row>
    <row r="34" spans="3:11" x14ac:dyDescent="0.25">
      <c r="C34" s="55" t="s">
        <v>4</v>
      </c>
      <c r="D34" s="34">
        <f t="shared" si="0"/>
        <v>928680</v>
      </c>
      <c r="E34" s="34">
        <f t="shared" si="0"/>
        <v>431719</v>
      </c>
      <c r="F34" s="34">
        <f t="shared" si="1"/>
        <v>857021</v>
      </c>
      <c r="G34" s="34">
        <f t="shared" si="2"/>
        <v>115900</v>
      </c>
      <c r="H34" s="34">
        <f t="shared" si="3"/>
        <v>315576</v>
      </c>
    </row>
    <row r="35" spans="3:11" x14ac:dyDescent="0.25">
      <c r="C35" s="54" t="s">
        <v>5</v>
      </c>
      <c r="D35" s="34">
        <f t="shared" si="0"/>
        <v>116398</v>
      </c>
      <c r="E35" s="34">
        <f t="shared" si="0"/>
        <v>460430</v>
      </c>
      <c r="F35" s="34">
        <f t="shared" si="1"/>
        <v>512989</v>
      </c>
      <c r="G35" s="34">
        <f t="shared" si="2"/>
        <v>144400</v>
      </c>
      <c r="H35" s="34">
        <f t="shared" si="3"/>
        <v>315977</v>
      </c>
    </row>
    <row r="36" spans="3:11" x14ac:dyDescent="0.25">
      <c r="C36" s="55" t="s">
        <v>6</v>
      </c>
      <c r="D36" s="34">
        <f t="shared" si="0"/>
        <v>959500</v>
      </c>
      <c r="E36" s="34">
        <f t="shared" si="0"/>
        <v>463069</v>
      </c>
      <c r="F36" s="34">
        <f t="shared" si="1"/>
        <v>1009420</v>
      </c>
      <c r="G36" s="34">
        <f t="shared" si="2"/>
        <v>138060</v>
      </c>
      <c r="H36" s="34">
        <f t="shared" si="3"/>
        <v>300577</v>
      </c>
    </row>
    <row r="37" spans="3:11" x14ac:dyDescent="0.25">
      <c r="C37" s="54" t="s">
        <v>7</v>
      </c>
      <c r="D37" s="34">
        <f t="shared" si="0"/>
        <v>447520</v>
      </c>
      <c r="E37" s="34">
        <f t="shared" si="0"/>
        <v>482515</v>
      </c>
      <c r="F37" s="34">
        <f t="shared" si="1"/>
        <v>974425</v>
      </c>
      <c r="G37" s="34">
        <f t="shared" si="2"/>
        <v>168100</v>
      </c>
      <c r="H37" s="34">
        <f t="shared" si="3"/>
        <v>314181</v>
      </c>
    </row>
    <row r="38" spans="3:11" x14ac:dyDescent="0.25">
      <c r="C38" s="55" t="s">
        <v>8</v>
      </c>
      <c r="D38" s="34">
        <f t="shared" si="0"/>
        <v>959500</v>
      </c>
      <c r="E38" s="34">
        <f t="shared" si="0"/>
        <v>495164</v>
      </c>
      <c r="F38" s="34">
        <f t="shared" si="1"/>
        <v>1438761</v>
      </c>
      <c r="G38" s="34">
        <f t="shared" si="2"/>
        <v>191070</v>
      </c>
      <c r="H38" s="34">
        <f t="shared" si="3"/>
        <v>303852</v>
      </c>
    </row>
    <row r="39" spans="3:11" x14ac:dyDescent="0.25">
      <c r="C39" s="54" t="s">
        <v>9</v>
      </c>
      <c r="D39" s="34">
        <f t="shared" si="0"/>
        <v>928740</v>
      </c>
      <c r="E39" s="34">
        <f t="shared" si="0"/>
        <v>459223</v>
      </c>
      <c r="F39" s="34">
        <f t="shared" si="1"/>
        <v>1908278</v>
      </c>
      <c r="G39" s="34">
        <f t="shared" si="2"/>
        <v>157767</v>
      </c>
      <c r="H39" s="34">
        <f t="shared" si="3"/>
        <v>301453</v>
      </c>
    </row>
    <row r="40" spans="3:11" x14ac:dyDescent="0.25">
      <c r="C40" s="55" t="s">
        <v>10</v>
      </c>
      <c r="D40" s="34">
        <f t="shared" si="0"/>
        <v>447760</v>
      </c>
      <c r="E40" s="34">
        <f t="shared" si="0"/>
        <v>454104</v>
      </c>
      <c r="F40" s="34">
        <f t="shared" si="1"/>
        <v>1901934</v>
      </c>
      <c r="G40" s="34">
        <f t="shared" si="2"/>
        <v>136448</v>
      </c>
      <c r="H40" s="34">
        <f t="shared" si="3"/>
        <v>317422</v>
      </c>
    </row>
    <row r="41" spans="3:11" x14ac:dyDescent="0.25">
      <c r="C41" s="54" t="s">
        <v>11</v>
      </c>
      <c r="D41" s="34">
        <f t="shared" si="0"/>
        <v>959740</v>
      </c>
      <c r="E41" s="34">
        <f t="shared" si="0"/>
        <v>532475</v>
      </c>
      <c r="F41" s="34">
        <f t="shared" si="1"/>
        <v>2329199</v>
      </c>
      <c r="G41" s="34">
        <f t="shared" si="2"/>
        <v>236587</v>
      </c>
      <c r="H41" s="34">
        <f t="shared" si="3"/>
        <v>295654</v>
      </c>
    </row>
    <row r="42" spans="3:11" x14ac:dyDescent="0.25">
      <c r="C42" s="56" t="s">
        <v>12</v>
      </c>
      <c r="D42" s="34">
        <f t="shared" si="0"/>
        <v>1300000</v>
      </c>
      <c r="E42" s="34">
        <f t="shared" si="0"/>
        <v>571797</v>
      </c>
      <c r="F42" s="34">
        <f t="shared" si="1"/>
        <v>3057402</v>
      </c>
      <c r="G42" s="34">
        <f t="shared" si="2"/>
        <v>256687</v>
      </c>
      <c r="H42" s="34">
        <f t="shared" si="3"/>
        <v>314876</v>
      </c>
    </row>
    <row r="46" spans="3:11" x14ac:dyDescent="0.25">
      <c r="C46" s="43" t="s">
        <v>71</v>
      </c>
      <c r="D46" t="s">
        <v>82</v>
      </c>
      <c r="E46" t="s">
        <v>83</v>
      </c>
      <c r="J46" s="43" t="s">
        <v>71</v>
      </c>
      <c r="K46" t="s">
        <v>84</v>
      </c>
    </row>
    <row r="47" spans="3:11" x14ac:dyDescent="0.25">
      <c r="C47" s="44" t="s">
        <v>1</v>
      </c>
      <c r="D47" s="34">
        <v>1565367</v>
      </c>
      <c r="E47" s="34">
        <v>554584</v>
      </c>
      <c r="J47" s="44" t="s">
        <v>1</v>
      </c>
      <c r="K47" s="34">
        <v>1010783</v>
      </c>
    </row>
    <row r="48" spans="3:11" x14ac:dyDescent="0.25">
      <c r="C48" s="44" t="s">
        <v>2</v>
      </c>
      <c r="D48" s="34">
        <v>164357</v>
      </c>
      <c r="E48" s="34">
        <v>798622</v>
      </c>
      <c r="J48" s="44" t="s">
        <v>2</v>
      </c>
      <c r="K48" s="34">
        <v>376518</v>
      </c>
    </row>
    <row r="49" spans="3:11" x14ac:dyDescent="0.25">
      <c r="C49" s="44" t="s">
        <v>3</v>
      </c>
      <c r="D49" s="34">
        <v>536200</v>
      </c>
      <c r="E49" s="34">
        <v>552658</v>
      </c>
      <c r="J49" s="44" t="s">
        <v>3</v>
      </c>
      <c r="K49" s="34">
        <v>360060</v>
      </c>
    </row>
    <row r="50" spans="3:11" x14ac:dyDescent="0.25">
      <c r="C50" s="44" t="s">
        <v>4</v>
      </c>
      <c r="D50" s="34">
        <v>928680</v>
      </c>
      <c r="E50" s="34">
        <v>431719</v>
      </c>
      <c r="J50" s="44" t="s">
        <v>4</v>
      </c>
      <c r="K50" s="34">
        <v>857021</v>
      </c>
    </row>
    <row r="51" spans="3:11" x14ac:dyDescent="0.25">
      <c r="C51" s="44" t="s">
        <v>5</v>
      </c>
      <c r="D51" s="34">
        <v>116398</v>
      </c>
      <c r="E51" s="34">
        <v>460430</v>
      </c>
      <c r="J51" s="44" t="s">
        <v>5</v>
      </c>
      <c r="K51" s="34">
        <v>512989</v>
      </c>
    </row>
    <row r="52" spans="3:11" x14ac:dyDescent="0.25">
      <c r="C52" s="44" t="s">
        <v>6</v>
      </c>
      <c r="D52" s="34">
        <v>959500</v>
      </c>
      <c r="E52" s="34">
        <v>463069</v>
      </c>
      <c r="J52" s="44" t="s">
        <v>6</v>
      </c>
      <c r="K52" s="34">
        <v>1009420</v>
      </c>
    </row>
    <row r="53" spans="3:11" x14ac:dyDescent="0.25">
      <c r="C53" s="44" t="s">
        <v>7</v>
      </c>
      <c r="D53" s="34">
        <v>447520</v>
      </c>
      <c r="E53" s="34">
        <v>482515</v>
      </c>
      <c r="J53" s="44" t="s">
        <v>7</v>
      </c>
      <c r="K53" s="34">
        <v>974425</v>
      </c>
    </row>
    <row r="54" spans="3:11" x14ac:dyDescent="0.25">
      <c r="C54" s="44" t="s">
        <v>8</v>
      </c>
      <c r="D54" s="34">
        <v>959500</v>
      </c>
      <c r="E54" s="34">
        <v>495164</v>
      </c>
      <c r="J54" s="44" t="s">
        <v>8</v>
      </c>
      <c r="K54" s="34">
        <v>1438761</v>
      </c>
    </row>
    <row r="55" spans="3:11" x14ac:dyDescent="0.25">
      <c r="C55" s="44" t="s">
        <v>9</v>
      </c>
      <c r="D55" s="34">
        <v>928740</v>
      </c>
      <c r="E55" s="34">
        <v>459223</v>
      </c>
      <c r="J55" s="44" t="s">
        <v>9</v>
      </c>
      <c r="K55" s="34">
        <v>1908278</v>
      </c>
    </row>
    <row r="56" spans="3:11" x14ac:dyDescent="0.25">
      <c r="C56" s="44" t="s">
        <v>10</v>
      </c>
      <c r="D56" s="34">
        <v>447760</v>
      </c>
      <c r="E56" s="34">
        <v>454104</v>
      </c>
      <c r="J56" s="44" t="s">
        <v>10</v>
      </c>
      <c r="K56" s="34">
        <v>1901934</v>
      </c>
    </row>
    <row r="57" spans="3:11" x14ac:dyDescent="0.25">
      <c r="C57" s="44" t="s">
        <v>11</v>
      </c>
      <c r="D57" s="34">
        <v>959740</v>
      </c>
      <c r="E57" s="34">
        <v>532475</v>
      </c>
      <c r="J57" s="44" t="s">
        <v>11</v>
      </c>
      <c r="K57" s="34">
        <v>2329199</v>
      </c>
    </row>
    <row r="58" spans="3:11" x14ac:dyDescent="0.25">
      <c r="C58" s="44" t="s">
        <v>12</v>
      </c>
      <c r="D58" s="34">
        <v>1300000</v>
      </c>
      <c r="E58" s="34">
        <v>571797</v>
      </c>
      <c r="J58" s="44" t="s">
        <v>12</v>
      </c>
      <c r="K58" s="34">
        <v>3057402</v>
      </c>
    </row>
    <row r="59" spans="3:11" x14ac:dyDescent="0.25">
      <c r="C59" s="44" t="s">
        <v>72</v>
      </c>
      <c r="D59" s="34">
        <v>9313762</v>
      </c>
      <c r="E59" s="34">
        <v>6256360</v>
      </c>
      <c r="J59" s="44" t="s">
        <v>72</v>
      </c>
      <c r="K59" s="34">
        <v>15736790</v>
      </c>
    </row>
    <row r="66" spans="3:16" x14ac:dyDescent="0.25">
      <c r="D66" s="43" t="s">
        <v>85</v>
      </c>
    </row>
    <row r="67" spans="3:16" x14ac:dyDescent="0.25">
      <c r="C67" s="43" t="s">
        <v>81</v>
      </c>
      <c r="D67" t="s">
        <v>1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72</v>
      </c>
    </row>
    <row r="68" spans="3:16" x14ac:dyDescent="0.25">
      <c r="C68" s="44" t="s">
        <v>79</v>
      </c>
      <c r="D68" s="34">
        <v>245200</v>
      </c>
      <c r="E68" s="34">
        <v>476546</v>
      </c>
      <c r="F68" s="34">
        <v>230700</v>
      </c>
      <c r="G68" s="34">
        <v>115900</v>
      </c>
      <c r="H68" s="34">
        <v>144400</v>
      </c>
      <c r="I68" s="34">
        <v>138060</v>
      </c>
      <c r="J68" s="34">
        <v>168100</v>
      </c>
      <c r="K68" s="34">
        <v>191070</v>
      </c>
      <c r="L68" s="34">
        <v>157767</v>
      </c>
      <c r="M68" s="34">
        <v>136448</v>
      </c>
      <c r="N68" s="34">
        <v>236587</v>
      </c>
      <c r="O68" s="34">
        <v>256687</v>
      </c>
      <c r="P68" s="34">
        <v>2497465</v>
      </c>
    </row>
    <row r="69" spans="3:16" x14ac:dyDescent="0.25">
      <c r="C69" s="44" t="s">
        <v>80</v>
      </c>
      <c r="D69" s="34">
        <v>297043</v>
      </c>
      <c r="E69" s="34">
        <v>319734</v>
      </c>
      <c r="F69" s="34">
        <v>317724</v>
      </c>
      <c r="G69" s="34">
        <v>315576</v>
      </c>
      <c r="H69" s="34">
        <v>315977</v>
      </c>
      <c r="I69" s="34">
        <v>300577</v>
      </c>
      <c r="J69" s="34">
        <v>314181</v>
      </c>
      <c r="K69" s="34">
        <v>303852</v>
      </c>
      <c r="L69" s="34">
        <v>301453</v>
      </c>
      <c r="M69" s="34">
        <v>317422</v>
      </c>
      <c r="N69" s="34">
        <v>295654</v>
      </c>
      <c r="O69" s="34">
        <v>314876</v>
      </c>
      <c r="P69" s="34">
        <v>3714069</v>
      </c>
    </row>
  </sheetData>
  <phoneticPr fontId="12" type="noConversion"/>
  <pageMargins left="0.511811024" right="0.511811024" top="0.78740157499999996" bottom="0.78740157499999996" header="0.31496062000000002" footer="0.31496062000000002"/>
  <drawing r:id="rId4"/>
  <tableParts count="5"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D26E-54D4-4D10-AB94-3C7CF621D667}">
  <dimension ref="A1:AZ37"/>
  <sheetViews>
    <sheetView showGridLines="0" tabSelected="1" zoomScale="84" zoomScaleNormal="84" workbookViewId="0">
      <selection activeCell="A42" sqref="A42"/>
    </sheetView>
  </sheetViews>
  <sheetFormatPr defaultRowHeight="15" x14ac:dyDescent="0.25"/>
  <cols>
    <col min="1" max="1" width="2" customWidth="1"/>
    <col min="2" max="2" width="10.7109375" customWidth="1"/>
    <col min="3" max="3" width="26.42578125" bestFit="1" customWidth="1"/>
    <col min="4" max="4" width="28.7109375" bestFit="1" customWidth="1"/>
    <col min="5" max="5" width="17.28515625" bestFit="1" customWidth="1"/>
    <col min="6" max="6" width="16" bestFit="1" customWidth="1"/>
    <col min="7" max="7" width="17" bestFit="1" customWidth="1"/>
  </cols>
  <sheetData>
    <row r="1" spans="1:52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23" spans="2:7" ht="9" customHeight="1" x14ac:dyDescent="0.25"/>
    <row r="24" spans="2:7" x14ac:dyDescent="0.25">
      <c r="B24" s="43" t="s">
        <v>47</v>
      </c>
      <c r="C24" t="s">
        <v>79</v>
      </c>
      <c r="D24" t="s">
        <v>80</v>
      </c>
      <c r="E24" t="s">
        <v>82</v>
      </c>
      <c r="F24" t="s">
        <v>83</v>
      </c>
      <c r="G24" t="s">
        <v>84</v>
      </c>
    </row>
    <row r="25" spans="2:7" x14ac:dyDescent="0.25">
      <c r="B25" s="44" t="s">
        <v>1</v>
      </c>
      <c r="C25" s="34">
        <v>245200</v>
      </c>
      <c r="D25" s="34">
        <v>297043</v>
      </c>
      <c r="E25" s="34">
        <v>1565367</v>
      </c>
      <c r="F25" s="34">
        <v>554584</v>
      </c>
      <c r="G25" s="34">
        <v>1010783</v>
      </c>
    </row>
    <row r="26" spans="2:7" x14ac:dyDescent="0.25">
      <c r="B26" s="44" t="s">
        <v>2</v>
      </c>
      <c r="C26" s="34">
        <v>476546</v>
      </c>
      <c r="D26" s="34">
        <v>319734</v>
      </c>
      <c r="E26" s="34">
        <v>164357</v>
      </c>
      <c r="F26" s="34">
        <v>798622</v>
      </c>
      <c r="G26" s="34">
        <v>376518</v>
      </c>
    </row>
    <row r="27" spans="2:7" x14ac:dyDescent="0.25">
      <c r="B27" s="44" t="s">
        <v>3</v>
      </c>
      <c r="C27" s="34">
        <v>230700</v>
      </c>
      <c r="D27" s="34">
        <v>317724</v>
      </c>
      <c r="E27" s="34">
        <v>536200</v>
      </c>
      <c r="F27" s="34">
        <v>552658</v>
      </c>
      <c r="G27" s="34">
        <v>360060</v>
      </c>
    </row>
    <row r="28" spans="2:7" x14ac:dyDescent="0.25">
      <c r="B28" s="44" t="s">
        <v>4</v>
      </c>
      <c r="C28" s="34">
        <v>115900</v>
      </c>
      <c r="D28" s="34">
        <v>315576</v>
      </c>
      <c r="E28" s="34">
        <v>928680</v>
      </c>
      <c r="F28" s="34">
        <v>431719</v>
      </c>
      <c r="G28" s="34">
        <v>857021</v>
      </c>
    </row>
    <row r="29" spans="2:7" x14ac:dyDescent="0.25">
      <c r="B29" s="44" t="s">
        <v>5</v>
      </c>
      <c r="C29" s="34">
        <v>144400</v>
      </c>
      <c r="D29" s="34">
        <v>315977</v>
      </c>
      <c r="E29" s="34">
        <v>116398</v>
      </c>
      <c r="F29" s="34">
        <v>460430</v>
      </c>
      <c r="G29" s="34">
        <v>512989</v>
      </c>
    </row>
    <row r="30" spans="2:7" x14ac:dyDescent="0.25">
      <c r="B30" s="44" t="s">
        <v>6</v>
      </c>
      <c r="C30" s="34">
        <v>138060</v>
      </c>
      <c r="D30" s="34">
        <v>300577</v>
      </c>
      <c r="E30" s="34">
        <v>959500</v>
      </c>
      <c r="F30" s="34">
        <v>463069</v>
      </c>
      <c r="G30" s="34">
        <v>1009420</v>
      </c>
    </row>
    <row r="31" spans="2:7" x14ac:dyDescent="0.25">
      <c r="B31" s="44" t="s">
        <v>7</v>
      </c>
      <c r="C31" s="34">
        <v>168100</v>
      </c>
      <c r="D31" s="34">
        <v>314181</v>
      </c>
      <c r="E31" s="34">
        <v>447520</v>
      </c>
      <c r="F31" s="34">
        <v>482515</v>
      </c>
      <c r="G31" s="34">
        <v>974425</v>
      </c>
    </row>
    <row r="32" spans="2:7" x14ac:dyDescent="0.25">
      <c r="B32" s="44" t="s">
        <v>8</v>
      </c>
      <c r="C32" s="34">
        <v>191070</v>
      </c>
      <c r="D32" s="34">
        <v>303852</v>
      </c>
      <c r="E32" s="34">
        <v>959500</v>
      </c>
      <c r="F32" s="34">
        <v>495164</v>
      </c>
      <c r="G32" s="34">
        <v>1438761</v>
      </c>
    </row>
    <row r="33" spans="2:7" x14ac:dyDescent="0.25">
      <c r="B33" s="44" t="s">
        <v>9</v>
      </c>
      <c r="C33" s="34">
        <v>157767</v>
      </c>
      <c r="D33" s="34">
        <v>301453</v>
      </c>
      <c r="E33" s="34">
        <v>928740</v>
      </c>
      <c r="F33" s="34">
        <v>459223</v>
      </c>
      <c r="G33" s="34">
        <v>1908278</v>
      </c>
    </row>
    <row r="34" spans="2:7" x14ac:dyDescent="0.25">
      <c r="B34" s="44" t="s">
        <v>10</v>
      </c>
      <c r="C34" s="34">
        <v>136448</v>
      </c>
      <c r="D34" s="34">
        <v>317422</v>
      </c>
      <c r="E34" s="34">
        <v>447760</v>
      </c>
      <c r="F34" s="34">
        <v>454104</v>
      </c>
      <c r="G34" s="34">
        <v>1901934</v>
      </c>
    </row>
    <row r="35" spans="2:7" x14ac:dyDescent="0.25">
      <c r="B35" s="44" t="s">
        <v>11</v>
      </c>
      <c r="C35" s="34">
        <v>236587</v>
      </c>
      <c r="D35" s="34">
        <v>295654</v>
      </c>
      <c r="E35" s="34">
        <v>959740</v>
      </c>
      <c r="F35" s="34">
        <v>532475</v>
      </c>
      <c r="G35" s="34">
        <v>2329199</v>
      </c>
    </row>
    <row r="36" spans="2:7" x14ac:dyDescent="0.25">
      <c r="B36" s="44" t="s">
        <v>12</v>
      </c>
      <c r="C36" s="34">
        <v>256687</v>
      </c>
      <c r="D36" s="34">
        <v>314876</v>
      </c>
      <c r="E36" s="34">
        <v>1300000</v>
      </c>
      <c r="F36" s="34">
        <v>571797</v>
      </c>
      <c r="G36" s="34">
        <v>3057402</v>
      </c>
    </row>
    <row r="37" spans="2:7" x14ac:dyDescent="0.25">
      <c r="B37" s="44" t="s">
        <v>72</v>
      </c>
      <c r="C37" s="34">
        <v>2497465</v>
      </c>
      <c r="D37" s="34">
        <v>3714069</v>
      </c>
      <c r="E37" s="34">
        <v>9313762</v>
      </c>
      <c r="F37" s="34">
        <v>6256360</v>
      </c>
      <c r="G37" s="34">
        <v>15736790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Contas_a_Pagar</vt:lpstr>
      <vt:lpstr>Contas_a_Receber</vt:lpstr>
      <vt:lpstr>Fluxo_de_Caixa</vt:lpstr>
      <vt:lpstr>DRE_Simplificada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Hadilton Silva</dc:creator>
  <cp:lastModifiedBy>Hadilton Silva</cp:lastModifiedBy>
  <dcterms:created xsi:type="dcterms:W3CDTF">2025-12-25T12:53:14Z</dcterms:created>
  <dcterms:modified xsi:type="dcterms:W3CDTF">2025-12-25T20:31:41Z</dcterms:modified>
</cp:coreProperties>
</file>